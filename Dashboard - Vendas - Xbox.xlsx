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ahbe\Downloads\"/>
    </mc:Choice>
  </mc:AlternateContent>
  <xr:revisionPtr revIDLastSave="0" documentId="13_ncr:1_{FB4748C5-FA54-4392-8078-2B8E0848121B}" xr6:coauthVersionLast="47" xr6:coauthVersionMax="47" xr10:uidLastSave="{00000000-0000-0000-0000-000000000000}"/>
  <bookViews>
    <workbookView xWindow="-108" yWindow="-108" windowWidth="23256" windowHeight="12456" tabRatio="9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3" l="1"/>
  <c r="D29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<sst xmlns="http://schemas.openxmlformats.org/spreadsheetml/2006/main" count="2020" uniqueCount="322">
  <si>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</si>
  <si>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</si>
  <si>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</si>
  <si>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</si>
  <si>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</si>
  <si>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</si>
  <si>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</si>
  <si>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</si>
  <si>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</si>
  <si>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</si>
  <si>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</si>
  <si>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</si>
  <si>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</si>
  <si>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</si>
  <si>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</si>
  <si>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</si>
  <si>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</si>
  <si>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</si>
  <si>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</si>
  <si>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</si>
  <si>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</si>
  <si>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</si>
  <si>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</si>
  <si>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</si>
  <si>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</si>
  <si>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</si>
  <si>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</si>
  <si>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</si>
  <si>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</si>
  <si>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</si>
  <si>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</si>
  <si>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</si>
  <si>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</si>
  <si>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</si>
  <si>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</si>
  <si>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</si>
  <si>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</si>
  <si>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</si>
  <si>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</si>
  <si>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</si>
  <si>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</si>
  <si>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</si>
  <si>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</si>
  <si>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</si>
  <si>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</si>
  <si>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</si>
  <si>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</si>
  <si>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</si>
  <si>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</si>
  <si>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</si>
  <si>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</si>
  <si>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</si>
  <si>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</si>
  <si>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</si>
  <si>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</si>
  <si>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</si>
  <si>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</si>
  <si>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</si>
  <si>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</si>
  <si>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</si>
  <si>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</si>
  <si>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</si>
  <si>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</si>
  <si>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</si>
  <si>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</si>
  <si>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</si>
  <si>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</si>
  <si>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</si>
  <si>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</si>
  <si>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</si>
  <si>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</si>
  <si>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</si>
  <si>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</si>
  <si>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</si>
  <si>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</si>
  <si>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</si>
  <si>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</si>
  <si>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</si>
  <si>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</si>
  <si>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</si>
  <si>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</si>
  <si>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</si>
  <si>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</si>
  <si>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</si>
  <si>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</si>
  <si>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</si>
  <si>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</si>
  <si>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</si>
  <si>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</si>
  <si>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</si>
  <si>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</si>
  <si>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</si>
  <si>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</si>
  <si>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</si>
  <si>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</si>
  <si>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</si>
  <si>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</si>
  <si>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</si>
  <si>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</si>
  <si>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</si>
  <si>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</si>
  <si>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</si>
  <si>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</si>
  <si>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</si>
  <si>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</si>
  <si>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</si>
  <si>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</si>
  <si>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</si>
  <si>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</si>
  <si>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</si>
  <si>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</si>
  <si>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</si>
  <si>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</si>
  <si>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</si>
  <si>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</si>
  <si>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</si>
  <si>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</si>
  <si>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</si>
  <si>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</si>
  <si>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</si>
  <si>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</si>
  <si>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</si>
  <si>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</si>
  <si>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</si>
  <si>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</si>
  <si>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</si>
  <si>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</si>
  <si>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</si>
  <si>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</si>
  <si>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</si>
  <si>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</si>
  <si>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</si>
  <si>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</si>
  <si>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</si>
  <si>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</si>
  <si>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</si>
  <si>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</si>
  <si>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</si>
  <si>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</si>
  <si>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</si>
  <si>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</si>
  <si>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</si>
  <si>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</si>
  <si>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</si>
  <si>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</si>
  <si>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</si>
  <si>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</si>
  <si>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</si>
  <si>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</si>
  <si>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</si>
  <si>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</si>
  <si>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</si>
  <si>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</si>
  <si>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</si>
  <si>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</si>
  <si>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</si>
  <si>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</si>
  <si>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</si>
  <si>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</si>
  <si>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</si>
  <si>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</si>
  <si>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</si>
  <si>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</si>
  <si>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</si>
  <si>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</si>
  <si>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</si>
  <si>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</si>
  <si>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</si>
  <si>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</si>
  <si>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</si>
  <si>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</si>
  <si>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</si>
  <si>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</si>
  <si>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</si>
  <si>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</si>
  <si>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</si>
  <si>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</si>
  <si>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</si>
  <si>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</si>
  <si>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</si>
  <si>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</si>
  <si>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</si>
  <si>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</si>
  <si>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</si>
  <si>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</si>
  <si>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</si>
  <si>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</si>
  <si>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</si>
  <si>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</si>
  <si>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</si>
  <si>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</si>
  <si>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</si>
  <si>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</si>
  <si>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</si>
  <si>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</si>
  <si>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</si>
  <si>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</si>
  <si>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</si>
  <si>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</si>
  <si>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</si>
  <si>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</si>
  <si>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</si>
  <si>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</si>
  <si>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</si>
  <si>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</si>
  <si>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</si>
  <si>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</si>
  <si>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</si>
  <si>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</si>
  <si>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</si>
  <si>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</si>
  <si>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</si>
  <si>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</si>
  <si>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</si>
  <si>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</si>
  <si>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</si>
  <si>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</si>
  <si>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</si>
  <si>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</si>
  <si>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</si>
  <si>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</si>
  <si>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</si>
  <si>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</si>
  <si>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</si>
  <si>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</si>
  <si>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</si>
  <si>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</si>
  <si>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</si>
  <si>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</si>
  <si>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</si>
  <si>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</si>
  <si>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</si>
  <si>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</si>
  <si>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</si>
  <si>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</si>
  <si>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</si>
  <si>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</si>
  <si>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</si>
  <si>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</si>
  <si>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</si>
  <si>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</si>
  <si>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</si>
  <si>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</si>
  <si>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</si>
  <si>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</si>
  <si>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</si>
  <si>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</si>
  <si>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</si>
  <si>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</si>
  <si>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</si>
  <si>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</si>
  <si>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</si>
  <si>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</si>
  <si>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</si>
  <si>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</si>
  <si>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</si>
  <si>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</si>
  <si>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</si>
  <si>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</si>
  <si>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</si>
  <si>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</si>
  <si>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</si>
  <si>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</si>
  <si>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</si>
  <si>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</si>
  <si>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</si>
  <si>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</si>
  <si>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</si>
  <si>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</si>
  <si>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</si>
  <si>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</si>
  <si>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</si>
  <si>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</si>
  <si>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</si>
  <si>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</si>
  <si>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</si>
  <si>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</si>
  <si>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</si>
  <si>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</si>
  <si>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</si>
  <si>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</si>
  <si>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</si>
  <si>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</si>
  <si>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</si>
  <si>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</si>
  <si>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</si>
  <si>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</si>
  <si>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</si>
  <si>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</si>
  <si>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</si>
  <si>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</si>
  <si>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</si>
  <si>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</si>
  <si>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</si>
  <si>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</si>
  <si>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</si>
  <si>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</si>
  <si>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</si>
  <si>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</si>
  <si>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</si>
  <si>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</si>
  <si>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</si>
  <si>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</si>
  <si>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</si>
  <si>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</si>
  <si>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</si>
  <si>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</si>
  <si>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</si>
  <si>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</si>
  <si>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</si>
  <si>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</si>
  <si>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</si>
  <si>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</si>
  <si>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</si>
  <si>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</si>
  <si>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Minecraft Season Pass Price</t>
  </si>
  <si>
    <t>#E8E6E9</t>
  </si>
  <si>
    <t>XBOX GAMEPASS SUBSCRIPTIONS SALES</t>
  </si>
  <si>
    <t>Soma de EA Play Season Pass</t>
  </si>
  <si>
    <t xml:space="preserve">Total de Vendas de Assinaturas do EA Play </t>
  </si>
  <si>
    <t>Total de Vendas anuais e não anuais</t>
  </si>
  <si>
    <t>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</si>
</sst>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3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3" fillId="0" borderId="0" xfId="2" applyNumberFormat="1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44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right"/>
    </xf>
    <xf numFmtId="0" fontId="0" fillId="7" borderId="0" xfId="0" applyFill="1" applyBorder="1"/>
    <xf numFmtId="0" fontId="0" fillId="0" borderId="0" xfId="0" applyBorder="1"/>
    <xf numFmtId="0" fontId="4" fillId="0" borderId="3" xfId="3" applyBorder="1"/>
    <xf numFmtId="165" fontId="0" fillId="0" borderId="0" xfId="2" applyNumberFormat="1" applyFont="1"/>
    <xf numFmtId="0" fontId="5" fillId="0" borderId="3" xfId="3" applyFont="1" applyFill="1" applyBorder="1"/>
    <xf numFmtId="0" fontId="0" fillId="0" borderId="7" xfId="0" applyBorder="1"/>
    <xf numFmtId="0" fontId="0" fillId="0" borderId="6" xfId="0" applyBorder="1"/>
    <xf numFmtId="0" fontId="0" fillId="0" borderId="8" xfId="0" pivotButton="1" applyBorder="1"/>
    <xf numFmtId="0" fontId="0" fillId="0" borderId="9" xfId="0" applyBorder="1"/>
    <xf numFmtId="44" fontId="0" fillId="0" borderId="11" xfId="0" applyNumberFormat="1" applyBorder="1" applyAlignment="1">
      <alignment horizontal="right"/>
    </xf>
    <xf numFmtId="44" fontId="0" fillId="0" borderId="10" xfId="0" applyNumberFormat="1" applyBorder="1" applyAlignment="1">
      <alignment horizontal="right"/>
    </xf>
    <xf numFmtId="0" fontId="0" fillId="0" borderId="10" xfId="0" pivotButton="1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44" fontId="0" fillId="0" borderId="10" xfId="0" applyNumberFormat="1" applyBorder="1"/>
    <xf numFmtId="0" fontId="0" fillId="0" borderId="3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92"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65" formatCode="&quot;R$&quot;\ #,##0.00"/>
    </dxf>
    <dxf>
      <alignment horizontal="right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65" formatCode="&quot;R$&quot;\ #,##0.00"/>
    </dxf>
    <dxf>
      <alignment horizontal="right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165" formatCode="&quot;R$&quot;\ #,##0.00"/>
    </dxf>
    <dxf>
      <alignment horizontal="right"/>
    </dxf>
    <dxf>
      <numFmt numFmtId="34" formatCode="_-&quot;R$&quot;\ * #,##0.00_-;\-&quot;R$&quot;\ * #,##0.00_-;_-&quot;R$&quot;\ * &quot;-&quot;??_-;_-@_-"/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numFmt numFmtId="34" formatCode="_-&quot;R$&quot;\ * #,##0.00_-;\-&quot;R$&quot;\ * #,##0.00_-;_-&quot;R$&quot;\ * &quot;-&quot;??_-;_-@_-"/>
    </dxf>
    <dxf>
      <alignment horizontal="right"/>
    </dxf>
    <dxf>
      <numFmt numFmtId="165" formatCode="&quot;R$&quot;\ #,##0.00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right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right"/>
    </dxf>
    <dxf>
      <numFmt numFmtId="0" formatCode="General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E8E6E9"/>
      </font>
      <border>
        <bottom style="thin">
          <color theme="9"/>
        </bottom>
        <vertical/>
        <horizontal/>
      </border>
    </dxf>
    <dxf>
      <fill>
        <patternFill>
          <bgColor rgb="FF22C55E"/>
        </patternFill>
      </fill>
    </dxf>
  </dxfs>
  <tableStyles count="1" defaultTableStyle="TableStyleMedium2" defaultPivotStyle="PivotStyleLight16">
    <tableStyle name="SlicerStyleLight6 2" pivot="0" table="0" count="10" xr9:uid="{DE6AF8F9-5C59-445F-9B92-040EF2A317D2}">
      <tableStyleElement type="wholeTable" dxfId="91"/>
      <tableStyleElement type="headerRow" dxfId="90"/>
    </tableStyle>
  </tableStyles>
  <colors>
    <mruColors>
      <color rgb="FF22C55E"/>
      <color rgb="FFE8E6E9"/>
      <color rgb="FF5BF6A8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- Vendas - Xbox.xlsx]C̳álculos!tbl_annual_total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0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404931058040972E-2"/>
          <c:y val="4.680673842806421E-2"/>
          <c:w val="0.87329900764923685"/>
          <c:h val="0.906386523143871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0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6-45C0-9ECB-EB77F9B30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5011744"/>
        <c:axId val="785012704"/>
      </c:barChart>
      <c:catAx>
        <c:axId val="78501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5012704"/>
        <c:crosses val="autoZero"/>
        <c:auto val="1"/>
        <c:lblAlgn val="ctr"/>
        <c:lblOffset val="100"/>
        <c:noMultiLvlLbl val="0"/>
      </c:catAx>
      <c:valAx>
        <c:axId val="78501270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8501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18909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28</xdr:row>
      <xdr:rowOff>83819</xdr:rowOff>
    </xdr:from>
    <xdr:to>
      <xdr:col>3</xdr:col>
      <xdr:colOff>387426</xdr:colOff>
      <xdr:row>32</xdr:row>
      <xdr:rowOff>74295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66750" y="53720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639221</xdr:colOff>
      <xdr:row>0</xdr:row>
      <xdr:rowOff>154187</xdr:rowOff>
    </xdr:from>
    <xdr:to>
      <xdr:col>0</xdr:col>
      <xdr:colOff>1267871</xdr:colOff>
      <xdr:row>4</xdr:row>
      <xdr:rowOff>62346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361281-3B7E-44BC-AB5A-571729874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1" t="15653" r="71287" b="15454"/>
        <a:stretch/>
      </xdr:blipFill>
      <xdr:spPr>
        <a:xfrm>
          <a:off x="639221" y="154187"/>
          <a:ext cx="628650" cy="670852"/>
        </a:xfrm>
        <a:prstGeom prst="rect">
          <a:avLst/>
        </a:prstGeom>
      </xdr:spPr>
    </xdr:pic>
    <xdr:clientData/>
  </xdr:twoCellAnchor>
  <xdr:twoCellAnchor editAs="absolute">
    <xdr:from>
      <xdr:col>0</xdr:col>
      <xdr:colOff>61351</xdr:colOff>
      <xdr:row>6</xdr:row>
      <xdr:rowOff>40342</xdr:rowOff>
    </xdr:from>
    <xdr:to>
      <xdr:col>0</xdr:col>
      <xdr:colOff>1890151</xdr:colOff>
      <xdr:row>13</xdr:row>
      <xdr:rowOff>52387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A10DD61-EE6D-4E0C-92C8-868FBC437DA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351" y="1030942"/>
              <a:ext cx="1828800" cy="1278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71542</xdr:colOff>
      <xdr:row>6</xdr:row>
      <xdr:rowOff>73365</xdr:rowOff>
    </xdr:from>
    <xdr:to>
      <xdr:col>13</xdr:col>
      <xdr:colOff>503317</xdr:colOff>
      <xdr:row>17</xdr:row>
      <xdr:rowOff>54427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8A14FEC6-92B5-DFB6-F9D3-DD23C6944B8D}"/>
            </a:ext>
          </a:extLst>
        </xdr:cNvPr>
        <xdr:cNvGrpSpPr/>
      </xdr:nvGrpSpPr>
      <xdr:grpSpPr>
        <a:xfrm>
          <a:off x="2319442" y="1063965"/>
          <a:ext cx="6975450" cy="1971787"/>
          <a:chOff x="2703905" y="1057038"/>
          <a:chExt cx="6971120" cy="196226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16180259-46E1-4FE6-93F0-7BB05AE5B580}"/>
              </a:ext>
            </a:extLst>
          </xdr:cNvPr>
          <xdr:cNvSpPr/>
        </xdr:nvSpPr>
        <xdr:spPr>
          <a:xfrm>
            <a:off x="2703905" y="1057038"/>
            <a:ext cx="6964589" cy="1962262"/>
          </a:xfrm>
          <a:prstGeom prst="roundRect">
            <a:avLst>
              <a:gd name="adj" fmla="val 918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54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E18BDC8-C906-ED07-7C9B-2749ECAB29A0}"/>
              </a:ext>
            </a:extLst>
          </xdr:cNvPr>
          <xdr:cNvSpPr/>
        </xdr:nvSpPr>
        <xdr:spPr>
          <a:xfrm>
            <a:off x="2711136" y="1064897"/>
            <a:ext cx="6963889" cy="505996"/>
          </a:xfrm>
          <a:prstGeom prst="round2SameRect">
            <a:avLst>
              <a:gd name="adj1" fmla="val 37541"/>
              <a:gd name="adj2" fmla="val 0"/>
            </a:avLst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20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D20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8A803694-B9D5-42E5-8B09-526DBF45DF9D}"/>
              </a:ext>
            </a:extLst>
          </xdr:cNvPr>
          <xdr:cNvSpPr/>
        </xdr:nvSpPr>
        <xdr:spPr>
          <a:xfrm>
            <a:off x="5754417" y="1705623"/>
            <a:ext cx="3687152" cy="1082575"/>
          </a:xfrm>
          <a:prstGeom prst="roundRect">
            <a:avLst>
              <a:gd name="adj" fmla="val 918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1B6A256-7CFB-44C6-8A4B-49EEC7067371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en-US" sz="36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7BDBCA5D-98ED-4892-A96A-319E067983A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91" t="24071" r="-891" b="25706"/>
          <a:stretch/>
        </xdr:blipFill>
        <xdr:spPr>
          <a:xfrm>
            <a:off x="3101651" y="1665515"/>
            <a:ext cx="2444125" cy="1162792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195836</xdr:colOff>
      <xdr:row>6</xdr:row>
      <xdr:rowOff>58125</xdr:rowOff>
    </xdr:from>
    <xdr:to>
      <xdr:col>25</xdr:col>
      <xdr:colOff>467591</xdr:colOff>
      <xdr:row>17</xdr:row>
      <xdr:rowOff>39187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1A10AFA-B1A0-01DB-3184-F96848B5A31C}"/>
            </a:ext>
          </a:extLst>
        </xdr:cNvPr>
        <xdr:cNvGrpSpPr/>
      </xdr:nvGrpSpPr>
      <xdr:grpSpPr>
        <a:xfrm>
          <a:off x="9597011" y="1048725"/>
          <a:ext cx="6969735" cy="1971787"/>
          <a:chOff x="9870465" y="1048725"/>
          <a:chExt cx="6977355" cy="2016691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B51AE321-6D1F-4331-8600-B1A13C62111B}"/>
              </a:ext>
            </a:extLst>
          </xdr:cNvPr>
          <xdr:cNvGrpSpPr/>
        </xdr:nvGrpSpPr>
        <xdr:grpSpPr>
          <a:xfrm>
            <a:off x="9870465" y="1048725"/>
            <a:ext cx="6977355" cy="2016691"/>
            <a:chOff x="2703905" y="1057038"/>
            <a:chExt cx="6971120" cy="1962262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01F98193-64F7-1E3D-FA2D-1FBD9D1E7038}"/>
                </a:ext>
              </a:extLst>
            </xdr:cNvPr>
            <xdr:cNvSpPr/>
          </xdr:nvSpPr>
          <xdr:spPr>
            <a:xfrm>
              <a:off x="2703905" y="1057038"/>
              <a:ext cx="6964589" cy="1962262"/>
            </a:xfrm>
            <a:prstGeom prst="roundRect">
              <a:avLst>
                <a:gd name="adj" fmla="val 918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5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049284DC-4BCF-4766-2AC7-7F18BE02FE07}"/>
                </a:ext>
              </a:extLst>
            </xdr:cNvPr>
            <xdr:cNvSpPr/>
          </xdr:nvSpPr>
          <xdr:spPr>
            <a:xfrm>
              <a:off x="2711136" y="1064897"/>
              <a:ext cx="6963889" cy="505996"/>
            </a:xfrm>
            <a:prstGeom prst="round2SameRect">
              <a:avLst>
                <a:gd name="adj1" fmla="val 37541"/>
                <a:gd name="adj2" fmla="val 0"/>
              </a:avLst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2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29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566F06C-4182-30AA-3C8B-37015BBCFFD3}"/>
                </a:ext>
              </a:extLst>
            </xdr:cNvPr>
            <xdr:cNvSpPr/>
          </xdr:nvSpPr>
          <xdr:spPr>
            <a:xfrm>
              <a:off x="5754417" y="1705623"/>
              <a:ext cx="3687152" cy="1082575"/>
            </a:xfrm>
            <a:prstGeom prst="roundRect">
              <a:avLst>
                <a:gd name="adj" fmla="val 918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8F87D94-F6D2-4EED-A9A0-BD0268F60CE7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en-US" sz="3600">
                <a:solidFill>
                  <a:srgbClr val="22C55E"/>
                </a:solidFill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30671623-879B-4ED1-A9BF-9F87A36A3739}"/>
              </a:ext>
            </a:extLst>
          </xdr:cNvPr>
          <xdr:cNvGrpSpPr/>
        </xdr:nvGrpSpPr>
        <xdr:grpSpPr>
          <a:xfrm>
            <a:off x="10447408" y="1730829"/>
            <a:ext cx="2277992" cy="997835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9B23373E-7A19-BB43-7E5C-83DB8BE4FD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64FCF36B-90ED-ED8D-D3F7-A5BF4F7C1E9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71542</xdr:colOff>
      <xdr:row>19</xdr:row>
      <xdr:rowOff>65314</xdr:rowOff>
    </xdr:from>
    <xdr:to>
      <xdr:col>25</xdr:col>
      <xdr:colOff>477981</xdr:colOff>
      <xdr:row>43</xdr:row>
      <xdr:rowOff>171058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C0AA206-6D4C-03FD-255C-76CEAD7600D5}"/>
            </a:ext>
          </a:extLst>
        </xdr:cNvPr>
        <xdr:cNvGrpSpPr/>
      </xdr:nvGrpSpPr>
      <xdr:grpSpPr>
        <a:xfrm>
          <a:off x="2319442" y="3408589"/>
          <a:ext cx="14242454" cy="4449144"/>
          <a:chOff x="2690051" y="3390405"/>
          <a:chExt cx="14260984" cy="4428362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E62B43DD-7237-E269-00B1-A5D9AC6C2CB6}"/>
              </a:ext>
            </a:extLst>
          </xdr:cNvPr>
          <xdr:cNvGrpSpPr/>
        </xdr:nvGrpSpPr>
        <xdr:grpSpPr>
          <a:xfrm>
            <a:off x="2690051" y="3394365"/>
            <a:ext cx="14250594" cy="4424402"/>
            <a:chOff x="2411504" y="870157"/>
            <a:chExt cx="7177342" cy="3809421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BF8DB18-E181-684A-FDAB-4F9493D5C072}"/>
                </a:ext>
              </a:extLst>
            </xdr:cNvPr>
            <xdr:cNvSpPr/>
          </xdr:nvSpPr>
          <xdr:spPr>
            <a:xfrm>
              <a:off x="2411504" y="870157"/>
              <a:ext cx="7177342" cy="3809421"/>
            </a:xfrm>
            <a:prstGeom prst="roundRect">
              <a:avLst>
                <a:gd name="adj" fmla="val 9186"/>
              </a:avLst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BA7FE27-88A7-4C04-8A4A-796D0A459563}"/>
                </a:ext>
              </a:extLst>
            </xdr:cNvPr>
            <xdr:cNvGraphicFramePr>
              <a:graphicFrameLocks/>
            </xdr:cNvGraphicFramePr>
          </xdr:nvGraphicFramePr>
          <xdr:xfrm>
            <a:off x="2695299" y="1642910"/>
            <a:ext cx="6441728" cy="297140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1741E52D-8093-C6F9-A958-AAE5CDFD5D5C}"/>
              </a:ext>
            </a:extLst>
          </xdr:cNvPr>
          <xdr:cNvSpPr/>
        </xdr:nvSpPr>
        <xdr:spPr>
          <a:xfrm>
            <a:off x="2693719" y="3390405"/>
            <a:ext cx="14257316" cy="796637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000"/>
              <a:t>TOTAL SUBSCRIPTIONS XBOX</a:t>
            </a:r>
            <a:r>
              <a:rPr lang="pt-BR" sz="3000" baseline="0"/>
              <a:t> GAME PASS</a:t>
            </a:r>
            <a:endParaRPr lang="pt-BR" sz="30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hbene Henrique" refreshedDate="46042.665484259262" createdVersion="8" refreshedVersion="8" minRefreshableVersion="3" recordCount="295" xr:uid="{200EC71E-6F9F-4ACA-B4FF-D24BD9136B5E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50074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x v="0"/>
  </r>
  <r>
    <n v="3232"/>
    <x v="1"/>
    <x v="1"/>
    <x v="1"/>
    <x v="1"/>
    <n v="5"/>
    <x v="1"/>
    <x v="1"/>
    <x v="1"/>
    <x v="1"/>
    <n v="0"/>
    <n v="0"/>
    <x v="1"/>
  </r>
  <r>
    <n v="3233"/>
    <x v="2"/>
    <x v="2"/>
    <x v="2"/>
    <x v="0"/>
    <n v="10"/>
    <x v="2"/>
    <x v="1"/>
    <x v="1"/>
    <x v="0"/>
    <n v="20"/>
    <n v="10"/>
    <x v="2"/>
  </r>
  <r>
    <n v="3234"/>
    <x v="3"/>
    <x v="0"/>
    <x v="3"/>
    <x v="1"/>
    <n v="15"/>
    <x v="0"/>
    <x v="0"/>
    <x v="0"/>
    <x v="0"/>
    <n v="20"/>
    <n v="3"/>
    <x v="3"/>
  </r>
  <r>
    <n v="3235"/>
    <x v="4"/>
    <x v="1"/>
    <x v="4"/>
    <x v="0"/>
    <n v="5"/>
    <x v="0"/>
    <x v="1"/>
    <x v="1"/>
    <x v="1"/>
    <n v="0"/>
    <n v="1"/>
    <x v="4"/>
  </r>
  <r>
    <n v="3236"/>
    <x v="5"/>
    <x v="2"/>
    <x v="5"/>
    <x v="1"/>
    <n v="10"/>
    <x v="0"/>
    <x v="1"/>
    <x v="1"/>
    <x v="0"/>
    <n v="20"/>
    <n v="2"/>
    <x v="5"/>
  </r>
  <r>
    <n v="3237"/>
    <x v="6"/>
    <x v="0"/>
    <x v="6"/>
    <x v="0"/>
    <n v="15"/>
    <x v="2"/>
    <x v="0"/>
    <x v="0"/>
    <x v="0"/>
    <n v="20"/>
    <n v="10"/>
    <x v="6"/>
  </r>
  <r>
    <n v="3238"/>
    <x v="7"/>
    <x v="1"/>
    <x v="7"/>
    <x v="0"/>
    <n v="5"/>
    <x v="1"/>
    <x v="1"/>
    <x v="1"/>
    <x v="1"/>
    <n v="0"/>
    <n v="0"/>
    <x v="1"/>
  </r>
  <r>
    <n v="3239"/>
    <x v="8"/>
    <x v="0"/>
    <x v="4"/>
    <x v="1"/>
    <n v="15"/>
    <x v="0"/>
    <x v="0"/>
    <x v="0"/>
    <x v="0"/>
    <n v="20"/>
    <n v="5"/>
    <x v="0"/>
  </r>
  <r>
    <n v="3240"/>
    <x v="9"/>
    <x v="2"/>
    <x v="8"/>
    <x v="0"/>
    <n v="10"/>
    <x v="2"/>
    <x v="1"/>
    <x v="1"/>
    <x v="0"/>
    <n v="20"/>
    <n v="15"/>
    <x v="7"/>
  </r>
  <r>
    <n v="3241"/>
    <x v="10"/>
    <x v="1"/>
    <x v="9"/>
    <x v="1"/>
    <n v="5"/>
    <x v="0"/>
    <x v="1"/>
    <x v="1"/>
    <x v="1"/>
    <n v="0"/>
    <n v="1"/>
    <x v="4"/>
  </r>
  <r>
    <n v="3242"/>
    <x v="11"/>
    <x v="0"/>
    <x v="10"/>
    <x v="0"/>
    <n v="15"/>
    <x v="1"/>
    <x v="0"/>
    <x v="0"/>
    <x v="0"/>
    <n v="20"/>
    <n v="20"/>
    <x v="8"/>
  </r>
  <r>
    <n v="3243"/>
    <x v="12"/>
    <x v="2"/>
    <x v="11"/>
    <x v="1"/>
    <n v="10"/>
    <x v="0"/>
    <x v="1"/>
    <x v="1"/>
    <x v="0"/>
    <n v="20"/>
    <n v="10"/>
    <x v="2"/>
  </r>
  <r>
    <n v="3244"/>
    <x v="13"/>
    <x v="1"/>
    <x v="12"/>
    <x v="0"/>
    <n v="5"/>
    <x v="2"/>
    <x v="1"/>
    <x v="1"/>
    <x v="1"/>
    <n v="0"/>
    <n v="0"/>
    <x v="1"/>
  </r>
  <r>
    <n v="3245"/>
    <x v="14"/>
    <x v="0"/>
    <x v="13"/>
    <x v="1"/>
    <n v="15"/>
    <x v="0"/>
    <x v="0"/>
    <x v="0"/>
    <x v="0"/>
    <n v="20"/>
    <n v="8"/>
    <x v="9"/>
  </r>
  <r>
    <n v="3246"/>
    <x v="15"/>
    <x v="2"/>
    <x v="14"/>
    <x v="0"/>
    <n v="10"/>
    <x v="1"/>
    <x v="1"/>
    <x v="1"/>
    <x v="0"/>
    <n v="20"/>
    <n v="12"/>
    <x v="10"/>
  </r>
  <r>
    <n v="3247"/>
    <x v="16"/>
    <x v="1"/>
    <x v="15"/>
    <x v="1"/>
    <n v="5"/>
    <x v="0"/>
    <x v="1"/>
    <x v="1"/>
    <x v="1"/>
    <n v="0"/>
    <n v="2"/>
    <x v="11"/>
  </r>
  <r>
    <n v="3248"/>
    <x v="17"/>
    <x v="0"/>
    <x v="16"/>
    <x v="0"/>
    <n v="15"/>
    <x v="2"/>
    <x v="0"/>
    <x v="0"/>
    <x v="0"/>
    <n v="20"/>
    <n v="7"/>
    <x v="12"/>
  </r>
  <r>
    <n v="3249"/>
    <x v="18"/>
    <x v="2"/>
    <x v="17"/>
    <x v="1"/>
    <n v="10"/>
    <x v="0"/>
    <x v="1"/>
    <x v="1"/>
    <x v="0"/>
    <n v="20"/>
    <n v="5"/>
    <x v="13"/>
  </r>
  <r>
    <n v="3250"/>
    <x v="19"/>
    <x v="1"/>
    <x v="18"/>
    <x v="0"/>
    <n v="5"/>
    <x v="1"/>
    <x v="1"/>
    <x v="1"/>
    <x v="1"/>
    <n v="0"/>
    <n v="0"/>
    <x v="1"/>
  </r>
  <r>
    <n v="3251"/>
    <x v="20"/>
    <x v="0"/>
    <x v="19"/>
    <x v="1"/>
    <n v="15"/>
    <x v="0"/>
    <x v="0"/>
    <x v="0"/>
    <x v="0"/>
    <n v="20"/>
    <n v="3"/>
    <x v="3"/>
  </r>
  <r>
    <n v="3252"/>
    <x v="21"/>
    <x v="2"/>
    <x v="20"/>
    <x v="0"/>
    <n v="10"/>
    <x v="2"/>
    <x v="1"/>
    <x v="1"/>
    <x v="0"/>
    <n v="20"/>
    <n v="15"/>
    <x v="7"/>
  </r>
  <r>
    <n v="3253"/>
    <x v="22"/>
    <x v="1"/>
    <x v="21"/>
    <x v="1"/>
    <n v="5"/>
    <x v="0"/>
    <x v="1"/>
    <x v="1"/>
    <x v="1"/>
    <n v="0"/>
    <n v="1"/>
    <x v="4"/>
  </r>
  <r>
    <n v="3254"/>
    <x v="23"/>
    <x v="0"/>
    <x v="22"/>
    <x v="0"/>
    <n v="15"/>
    <x v="1"/>
    <x v="0"/>
    <x v="0"/>
    <x v="0"/>
    <n v="20"/>
    <n v="20"/>
    <x v="8"/>
  </r>
  <r>
    <n v="3255"/>
    <x v="24"/>
    <x v="2"/>
    <x v="23"/>
    <x v="1"/>
    <n v="10"/>
    <x v="0"/>
    <x v="1"/>
    <x v="1"/>
    <x v="0"/>
    <n v="20"/>
    <n v="10"/>
    <x v="2"/>
  </r>
  <r>
    <n v="3256"/>
    <x v="25"/>
    <x v="1"/>
    <x v="24"/>
    <x v="0"/>
    <n v="5"/>
    <x v="2"/>
    <x v="1"/>
    <x v="1"/>
    <x v="1"/>
    <n v="0"/>
    <n v="0"/>
    <x v="1"/>
  </r>
  <r>
    <n v="3257"/>
    <x v="26"/>
    <x v="0"/>
    <x v="25"/>
    <x v="1"/>
    <n v="15"/>
    <x v="0"/>
    <x v="0"/>
    <x v="0"/>
    <x v="0"/>
    <n v="20"/>
    <n v="5"/>
    <x v="0"/>
  </r>
  <r>
    <n v="3258"/>
    <x v="27"/>
    <x v="2"/>
    <x v="26"/>
    <x v="0"/>
    <n v="10"/>
    <x v="1"/>
    <x v="1"/>
    <x v="1"/>
    <x v="0"/>
    <n v="20"/>
    <n v="15"/>
    <x v="7"/>
  </r>
  <r>
    <n v="3259"/>
    <x v="28"/>
    <x v="1"/>
    <x v="27"/>
    <x v="1"/>
    <n v="5"/>
    <x v="0"/>
    <x v="1"/>
    <x v="1"/>
    <x v="1"/>
    <n v="0"/>
    <n v="1"/>
    <x v="4"/>
  </r>
  <r>
    <n v="3260"/>
    <x v="29"/>
    <x v="0"/>
    <x v="28"/>
    <x v="0"/>
    <n v="15"/>
    <x v="2"/>
    <x v="0"/>
    <x v="0"/>
    <x v="0"/>
    <n v="20"/>
    <n v="7"/>
    <x v="12"/>
  </r>
  <r>
    <n v="3261"/>
    <x v="30"/>
    <x v="2"/>
    <x v="29"/>
    <x v="1"/>
    <n v="10"/>
    <x v="0"/>
    <x v="1"/>
    <x v="1"/>
    <x v="0"/>
    <n v="20"/>
    <n v="10"/>
    <x v="2"/>
  </r>
  <r>
    <n v="3262"/>
    <x v="31"/>
    <x v="1"/>
    <x v="30"/>
    <x v="0"/>
    <n v="5"/>
    <x v="1"/>
    <x v="1"/>
    <x v="1"/>
    <x v="1"/>
    <n v="0"/>
    <n v="0"/>
    <x v="1"/>
  </r>
  <r>
    <n v="3263"/>
    <x v="32"/>
    <x v="0"/>
    <x v="31"/>
    <x v="1"/>
    <n v="15"/>
    <x v="0"/>
    <x v="0"/>
    <x v="0"/>
    <x v="0"/>
    <n v="20"/>
    <n v="3"/>
    <x v="3"/>
  </r>
  <r>
    <n v="3264"/>
    <x v="33"/>
    <x v="2"/>
    <x v="32"/>
    <x v="0"/>
    <n v="10"/>
    <x v="2"/>
    <x v="1"/>
    <x v="1"/>
    <x v="0"/>
    <n v="20"/>
    <n v="15"/>
    <x v="7"/>
  </r>
  <r>
    <n v="3265"/>
    <x v="34"/>
    <x v="1"/>
    <x v="33"/>
    <x v="1"/>
    <n v="5"/>
    <x v="0"/>
    <x v="1"/>
    <x v="1"/>
    <x v="1"/>
    <n v="0"/>
    <n v="1"/>
    <x v="4"/>
  </r>
  <r>
    <n v="3266"/>
    <x v="35"/>
    <x v="1"/>
    <x v="34"/>
    <x v="0"/>
    <n v="5"/>
    <x v="0"/>
    <x v="1"/>
    <x v="1"/>
    <x v="1"/>
    <n v="0"/>
    <n v="0"/>
    <x v="1"/>
  </r>
  <r>
    <n v="3267"/>
    <x v="36"/>
    <x v="0"/>
    <x v="35"/>
    <x v="1"/>
    <n v="15"/>
    <x v="2"/>
    <x v="0"/>
    <x v="0"/>
    <x v="0"/>
    <n v="20"/>
    <n v="7"/>
    <x v="12"/>
  </r>
  <r>
    <n v="3268"/>
    <x v="37"/>
    <x v="2"/>
    <x v="36"/>
    <x v="0"/>
    <n v="10"/>
    <x v="1"/>
    <x v="1"/>
    <x v="1"/>
    <x v="0"/>
    <n v="20"/>
    <n v="10"/>
    <x v="2"/>
  </r>
  <r>
    <n v="3269"/>
    <x v="38"/>
    <x v="1"/>
    <x v="37"/>
    <x v="1"/>
    <n v="5"/>
    <x v="2"/>
    <x v="1"/>
    <x v="1"/>
    <x v="1"/>
    <n v="0"/>
    <n v="1"/>
    <x v="4"/>
  </r>
  <r>
    <n v="3270"/>
    <x v="39"/>
    <x v="0"/>
    <x v="38"/>
    <x v="0"/>
    <n v="15"/>
    <x v="0"/>
    <x v="0"/>
    <x v="0"/>
    <x v="0"/>
    <n v="20"/>
    <n v="15"/>
    <x v="14"/>
  </r>
  <r>
    <n v="3271"/>
    <x v="40"/>
    <x v="2"/>
    <x v="39"/>
    <x v="1"/>
    <n v="10"/>
    <x v="0"/>
    <x v="1"/>
    <x v="1"/>
    <x v="0"/>
    <n v="20"/>
    <n v="5"/>
    <x v="13"/>
  </r>
  <r>
    <n v="3272"/>
    <x v="41"/>
    <x v="1"/>
    <x v="40"/>
    <x v="0"/>
    <n v="5"/>
    <x v="1"/>
    <x v="1"/>
    <x v="1"/>
    <x v="1"/>
    <n v="0"/>
    <n v="0"/>
    <x v="1"/>
  </r>
  <r>
    <n v="3273"/>
    <x v="42"/>
    <x v="0"/>
    <x v="41"/>
    <x v="1"/>
    <n v="15"/>
    <x v="2"/>
    <x v="0"/>
    <x v="0"/>
    <x v="0"/>
    <n v="20"/>
    <n v="20"/>
    <x v="8"/>
  </r>
  <r>
    <n v="3274"/>
    <x v="43"/>
    <x v="2"/>
    <x v="42"/>
    <x v="0"/>
    <n v="10"/>
    <x v="2"/>
    <x v="1"/>
    <x v="1"/>
    <x v="0"/>
    <n v="20"/>
    <n v="12"/>
    <x v="10"/>
  </r>
  <r>
    <n v="3275"/>
    <x v="44"/>
    <x v="1"/>
    <x v="43"/>
    <x v="1"/>
    <n v="5"/>
    <x v="0"/>
    <x v="1"/>
    <x v="1"/>
    <x v="1"/>
    <n v="0"/>
    <n v="2"/>
    <x v="11"/>
  </r>
  <r>
    <n v="3276"/>
    <x v="45"/>
    <x v="0"/>
    <x v="44"/>
    <x v="0"/>
    <n v="15"/>
    <x v="1"/>
    <x v="0"/>
    <x v="0"/>
    <x v="0"/>
    <n v="20"/>
    <n v="5"/>
    <x v="0"/>
  </r>
  <r>
    <n v="3277"/>
    <x v="46"/>
    <x v="2"/>
    <x v="45"/>
    <x v="1"/>
    <n v="10"/>
    <x v="0"/>
    <x v="1"/>
    <x v="1"/>
    <x v="0"/>
    <n v="20"/>
    <n v="10"/>
    <x v="2"/>
  </r>
  <r>
    <n v="3278"/>
    <x v="47"/>
    <x v="1"/>
    <x v="46"/>
    <x v="0"/>
    <n v="5"/>
    <x v="2"/>
    <x v="1"/>
    <x v="1"/>
    <x v="1"/>
    <n v="0"/>
    <n v="0"/>
    <x v="1"/>
  </r>
  <r>
    <n v="3279"/>
    <x v="48"/>
    <x v="0"/>
    <x v="47"/>
    <x v="1"/>
    <n v="15"/>
    <x v="0"/>
    <x v="0"/>
    <x v="0"/>
    <x v="0"/>
    <n v="20"/>
    <n v="3"/>
    <x v="3"/>
  </r>
  <r>
    <n v="3280"/>
    <x v="49"/>
    <x v="2"/>
    <x v="48"/>
    <x v="0"/>
    <n v="10"/>
    <x v="1"/>
    <x v="1"/>
    <x v="1"/>
    <x v="0"/>
    <n v="20"/>
    <n v="15"/>
    <x v="7"/>
  </r>
  <r>
    <n v="3281"/>
    <x v="50"/>
    <x v="1"/>
    <x v="49"/>
    <x v="1"/>
    <n v="5"/>
    <x v="0"/>
    <x v="1"/>
    <x v="1"/>
    <x v="1"/>
    <n v="0"/>
    <n v="1"/>
    <x v="4"/>
  </r>
  <r>
    <n v="3282"/>
    <x v="51"/>
    <x v="0"/>
    <x v="50"/>
    <x v="0"/>
    <n v="15"/>
    <x v="2"/>
    <x v="0"/>
    <x v="0"/>
    <x v="0"/>
    <n v="20"/>
    <n v="7"/>
    <x v="12"/>
  </r>
  <r>
    <n v="3283"/>
    <x v="52"/>
    <x v="2"/>
    <x v="51"/>
    <x v="1"/>
    <n v="10"/>
    <x v="0"/>
    <x v="1"/>
    <x v="1"/>
    <x v="0"/>
    <n v="20"/>
    <n v="10"/>
    <x v="2"/>
  </r>
  <r>
    <n v="3284"/>
    <x v="53"/>
    <x v="1"/>
    <x v="52"/>
    <x v="0"/>
    <n v="5"/>
    <x v="1"/>
    <x v="1"/>
    <x v="1"/>
    <x v="1"/>
    <n v="0"/>
    <n v="0"/>
    <x v="1"/>
  </r>
  <r>
    <n v="3285"/>
    <x v="54"/>
    <x v="0"/>
    <x v="53"/>
    <x v="1"/>
    <n v="15"/>
    <x v="0"/>
    <x v="0"/>
    <x v="0"/>
    <x v="0"/>
    <n v="20"/>
    <n v="20"/>
    <x v="8"/>
  </r>
  <r>
    <n v="3286"/>
    <x v="55"/>
    <x v="2"/>
    <x v="54"/>
    <x v="0"/>
    <n v="10"/>
    <x v="2"/>
    <x v="1"/>
    <x v="1"/>
    <x v="0"/>
    <n v="20"/>
    <n v="15"/>
    <x v="7"/>
  </r>
  <r>
    <n v="3287"/>
    <x v="56"/>
    <x v="1"/>
    <x v="55"/>
    <x v="1"/>
    <n v="5"/>
    <x v="0"/>
    <x v="1"/>
    <x v="1"/>
    <x v="1"/>
    <n v="0"/>
    <n v="1"/>
    <x v="4"/>
  </r>
  <r>
    <n v="3288"/>
    <x v="57"/>
    <x v="0"/>
    <x v="56"/>
    <x v="0"/>
    <n v="15"/>
    <x v="1"/>
    <x v="0"/>
    <x v="0"/>
    <x v="0"/>
    <n v="20"/>
    <n v="3"/>
    <x v="3"/>
  </r>
  <r>
    <n v="3289"/>
    <x v="58"/>
    <x v="2"/>
    <x v="57"/>
    <x v="1"/>
    <n v="10"/>
    <x v="0"/>
    <x v="1"/>
    <x v="1"/>
    <x v="0"/>
    <n v="20"/>
    <n v="10"/>
    <x v="2"/>
  </r>
  <r>
    <n v="3290"/>
    <x v="59"/>
    <x v="1"/>
    <x v="58"/>
    <x v="0"/>
    <n v="5"/>
    <x v="2"/>
    <x v="1"/>
    <x v="1"/>
    <x v="1"/>
    <n v="0"/>
    <n v="0"/>
    <x v="1"/>
  </r>
  <r>
    <n v="3291"/>
    <x v="60"/>
    <x v="0"/>
    <x v="59"/>
    <x v="1"/>
    <n v="15"/>
    <x v="0"/>
    <x v="0"/>
    <x v="0"/>
    <x v="0"/>
    <n v="20"/>
    <n v="5"/>
    <x v="0"/>
  </r>
  <r>
    <n v="3292"/>
    <x v="61"/>
    <x v="2"/>
    <x v="60"/>
    <x v="0"/>
    <n v="10"/>
    <x v="1"/>
    <x v="1"/>
    <x v="1"/>
    <x v="0"/>
    <n v="20"/>
    <n v="15"/>
    <x v="7"/>
  </r>
  <r>
    <n v="3293"/>
    <x v="62"/>
    <x v="1"/>
    <x v="61"/>
    <x v="1"/>
    <n v="5"/>
    <x v="0"/>
    <x v="1"/>
    <x v="1"/>
    <x v="1"/>
    <n v="0"/>
    <n v="1"/>
    <x v="4"/>
  </r>
  <r>
    <n v="3294"/>
    <x v="63"/>
    <x v="0"/>
    <x v="62"/>
    <x v="0"/>
    <n v="15"/>
    <x v="2"/>
    <x v="0"/>
    <x v="0"/>
    <x v="0"/>
    <n v="20"/>
    <n v="20"/>
    <x v="8"/>
  </r>
  <r>
    <n v="3295"/>
    <x v="64"/>
    <x v="2"/>
    <x v="63"/>
    <x v="1"/>
    <n v="10"/>
    <x v="0"/>
    <x v="1"/>
    <x v="1"/>
    <x v="0"/>
    <n v="20"/>
    <n v="5"/>
    <x v="13"/>
  </r>
  <r>
    <n v="3296"/>
    <x v="65"/>
    <x v="1"/>
    <x v="64"/>
    <x v="1"/>
    <n v="5"/>
    <x v="0"/>
    <x v="1"/>
    <x v="1"/>
    <x v="1"/>
    <n v="0"/>
    <n v="0"/>
    <x v="1"/>
  </r>
  <r>
    <n v="3297"/>
    <x v="66"/>
    <x v="0"/>
    <x v="65"/>
    <x v="0"/>
    <n v="15"/>
    <x v="2"/>
    <x v="0"/>
    <x v="0"/>
    <x v="0"/>
    <n v="20"/>
    <n v="7"/>
    <x v="12"/>
  </r>
  <r>
    <n v="3298"/>
    <x v="67"/>
    <x v="2"/>
    <x v="66"/>
    <x v="1"/>
    <n v="10"/>
    <x v="1"/>
    <x v="1"/>
    <x v="1"/>
    <x v="0"/>
    <n v="20"/>
    <n v="10"/>
    <x v="2"/>
  </r>
  <r>
    <n v="3299"/>
    <x v="68"/>
    <x v="1"/>
    <x v="67"/>
    <x v="0"/>
    <n v="5"/>
    <x v="2"/>
    <x v="1"/>
    <x v="1"/>
    <x v="1"/>
    <n v="0"/>
    <n v="1"/>
    <x v="4"/>
  </r>
  <r>
    <n v="3300"/>
    <x v="69"/>
    <x v="0"/>
    <x v="68"/>
    <x v="1"/>
    <n v="15"/>
    <x v="0"/>
    <x v="0"/>
    <x v="0"/>
    <x v="0"/>
    <n v="20"/>
    <n v="15"/>
    <x v="14"/>
  </r>
  <r>
    <n v="3301"/>
    <x v="70"/>
    <x v="2"/>
    <x v="69"/>
    <x v="0"/>
    <n v="10"/>
    <x v="0"/>
    <x v="1"/>
    <x v="1"/>
    <x v="0"/>
    <n v="20"/>
    <n v="5"/>
    <x v="13"/>
  </r>
  <r>
    <n v="3302"/>
    <x v="71"/>
    <x v="1"/>
    <x v="70"/>
    <x v="1"/>
    <n v="5"/>
    <x v="1"/>
    <x v="1"/>
    <x v="1"/>
    <x v="1"/>
    <n v="0"/>
    <n v="0"/>
    <x v="1"/>
  </r>
  <r>
    <n v="3303"/>
    <x v="72"/>
    <x v="0"/>
    <x v="71"/>
    <x v="0"/>
    <n v="15"/>
    <x v="2"/>
    <x v="0"/>
    <x v="0"/>
    <x v="0"/>
    <n v="20"/>
    <n v="20"/>
    <x v="8"/>
  </r>
  <r>
    <n v="3304"/>
    <x v="73"/>
    <x v="2"/>
    <x v="72"/>
    <x v="1"/>
    <n v="10"/>
    <x v="2"/>
    <x v="1"/>
    <x v="1"/>
    <x v="0"/>
    <n v="20"/>
    <n v="12"/>
    <x v="10"/>
  </r>
  <r>
    <n v="3305"/>
    <x v="74"/>
    <x v="1"/>
    <x v="73"/>
    <x v="0"/>
    <n v="5"/>
    <x v="0"/>
    <x v="1"/>
    <x v="1"/>
    <x v="1"/>
    <n v="0"/>
    <n v="2"/>
    <x v="11"/>
  </r>
  <r>
    <n v="3306"/>
    <x v="75"/>
    <x v="0"/>
    <x v="74"/>
    <x v="1"/>
    <n v="15"/>
    <x v="1"/>
    <x v="0"/>
    <x v="0"/>
    <x v="0"/>
    <n v="20"/>
    <n v="5"/>
    <x v="0"/>
  </r>
  <r>
    <n v="3307"/>
    <x v="76"/>
    <x v="2"/>
    <x v="75"/>
    <x v="0"/>
    <n v="10"/>
    <x v="0"/>
    <x v="1"/>
    <x v="1"/>
    <x v="0"/>
    <n v="20"/>
    <n v="10"/>
    <x v="2"/>
  </r>
  <r>
    <n v="3308"/>
    <x v="77"/>
    <x v="1"/>
    <x v="76"/>
    <x v="1"/>
    <n v="5"/>
    <x v="2"/>
    <x v="1"/>
    <x v="1"/>
    <x v="1"/>
    <n v="0"/>
    <n v="0"/>
    <x v="1"/>
  </r>
  <r>
    <n v="3309"/>
    <x v="78"/>
    <x v="0"/>
    <x v="77"/>
    <x v="0"/>
    <n v="15"/>
    <x v="0"/>
    <x v="0"/>
    <x v="0"/>
    <x v="0"/>
    <n v="20"/>
    <n v="3"/>
    <x v="3"/>
  </r>
  <r>
    <n v="3310"/>
    <x v="79"/>
    <x v="2"/>
    <x v="78"/>
    <x v="1"/>
    <n v="10"/>
    <x v="1"/>
    <x v="1"/>
    <x v="1"/>
    <x v="0"/>
    <n v="20"/>
    <n v="15"/>
    <x v="7"/>
  </r>
  <r>
    <n v="3311"/>
    <x v="80"/>
    <x v="1"/>
    <x v="79"/>
    <x v="0"/>
    <n v="5"/>
    <x v="0"/>
    <x v="1"/>
    <x v="1"/>
    <x v="1"/>
    <n v="0"/>
    <n v="1"/>
    <x v="4"/>
  </r>
  <r>
    <n v="3312"/>
    <x v="81"/>
    <x v="0"/>
    <x v="80"/>
    <x v="1"/>
    <n v="15"/>
    <x v="2"/>
    <x v="0"/>
    <x v="0"/>
    <x v="0"/>
    <n v="20"/>
    <n v="7"/>
    <x v="12"/>
  </r>
  <r>
    <n v="3313"/>
    <x v="82"/>
    <x v="2"/>
    <x v="81"/>
    <x v="0"/>
    <n v="10"/>
    <x v="0"/>
    <x v="1"/>
    <x v="1"/>
    <x v="0"/>
    <n v="20"/>
    <n v="10"/>
    <x v="2"/>
  </r>
  <r>
    <n v="3314"/>
    <x v="83"/>
    <x v="1"/>
    <x v="82"/>
    <x v="1"/>
    <n v="5"/>
    <x v="1"/>
    <x v="1"/>
    <x v="1"/>
    <x v="1"/>
    <n v="0"/>
    <n v="0"/>
    <x v="1"/>
  </r>
  <r>
    <n v="3315"/>
    <x v="84"/>
    <x v="0"/>
    <x v="83"/>
    <x v="0"/>
    <n v="15"/>
    <x v="0"/>
    <x v="0"/>
    <x v="0"/>
    <x v="0"/>
    <n v="20"/>
    <n v="20"/>
    <x v="8"/>
  </r>
  <r>
    <n v="3316"/>
    <x v="85"/>
    <x v="2"/>
    <x v="84"/>
    <x v="1"/>
    <n v="10"/>
    <x v="2"/>
    <x v="1"/>
    <x v="1"/>
    <x v="0"/>
    <n v="20"/>
    <n v="15"/>
    <x v="7"/>
  </r>
  <r>
    <n v="3317"/>
    <x v="86"/>
    <x v="1"/>
    <x v="85"/>
    <x v="0"/>
    <n v="5"/>
    <x v="0"/>
    <x v="1"/>
    <x v="1"/>
    <x v="1"/>
    <n v="0"/>
    <n v="1"/>
    <x v="4"/>
  </r>
  <r>
    <n v="3318"/>
    <x v="87"/>
    <x v="0"/>
    <x v="86"/>
    <x v="1"/>
    <n v="15"/>
    <x v="1"/>
    <x v="0"/>
    <x v="0"/>
    <x v="0"/>
    <n v="20"/>
    <n v="3"/>
    <x v="3"/>
  </r>
  <r>
    <n v="3319"/>
    <x v="88"/>
    <x v="2"/>
    <x v="87"/>
    <x v="0"/>
    <n v="10"/>
    <x v="0"/>
    <x v="1"/>
    <x v="1"/>
    <x v="0"/>
    <n v="20"/>
    <n v="10"/>
    <x v="2"/>
  </r>
  <r>
    <n v="3320"/>
    <x v="89"/>
    <x v="1"/>
    <x v="88"/>
    <x v="1"/>
    <n v="5"/>
    <x v="2"/>
    <x v="1"/>
    <x v="1"/>
    <x v="1"/>
    <n v="0"/>
    <n v="0"/>
    <x v="1"/>
  </r>
  <r>
    <n v="3321"/>
    <x v="90"/>
    <x v="0"/>
    <x v="89"/>
    <x v="0"/>
    <n v="15"/>
    <x v="0"/>
    <x v="0"/>
    <x v="0"/>
    <x v="0"/>
    <n v="20"/>
    <n v="5"/>
    <x v="0"/>
  </r>
  <r>
    <n v="3322"/>
    <x v="91"/>
    <x v="2"/>
    <x v="90"/>
    <x v="1"/>
    <n v="10"/>
    <x v="1"/>
    <x v="1"/>
    <x v="1"/>
    <x v="0"/>
    <n v="20"/>
    <n v="15"/>
    <x v="7"/>
  </r>
  <r>
    <n v="3323"/>
    <x v="92"/>
    <x v="1"/>
    <x v="91"/>
    <x v="0"/>
    <n v="5"/>
    <x v="0"/>
    <x v="1"/>
    <x v="1"/>
    <x v="1"/>
    <n v="0"/>
    <n v="1"/>
    <x v="4"/>
  </r>
  <r>
    <n v="3324"/>
    <x v="93"/>
    <x v="0"/>
    <x v="92"/>
    <x v="1"/>
    <n v="15"/>
    <x v="2"/>
    <x v="0"/>
    <x v="0"/>
    <x v="0"/>
    <n v="20"/>
    <n v="20"/>
    <x v="8"/>
  </r>
  <r>
    <n v="3325"/>
    <x v="94"/>
    <x v="2"/>
    <x v="93"/>
    <x v="0"/>
    <n v="10"/>
    <x v="2"/>
    <x v="1"/>
    <x v="1"/>
    <x v="0"/>
    <n v="20"/>
    <n v="15"/>
    <x v="7"/>
  </r>
  <r>
    <n v="3326"/>
    <x v="95"/>
    <x v="1"/>
    <x v="94"/>
    <x v="1"/>
    <n v="5"/>
    <x v="1"/>
    <x v="1"/>
    <x v="1"/>
    <x v="1"/>
    <n v="0"/>
    <n v="0"/>
    <x v="1"/>
  </r>
  <r>
    <n v="3327"/>
    <x v="96"/>
    <x v="0"/>
    <x v="95"/>
    <x v="0"/>
    <n v="15"/>
    <x v="0"/>
    <x v="0"/>
    <x v="0"/>
    <x v="0"/>
    <n v="20"/>
    <n v="7"/>
    <x v="12"/>
  </r>
  <r>
    <n v="3328"/>
    <x v="97"/>
    <x v="2"/>
    <x v="96"/>
    <x v="1"/>
    <n v="10"/>
    <x v="1"/>
    <x v="1"/>
    <x v="1"/>
    <x v="0"/>
    <n v="20"/>
    <n v="10"/>
    <x v="2"/>
  </r>
  <r>
    <n v="3329"/>
    <x v="98"/>
    <x v="1"/>
    <x v="97"/>
    <x v="0"/>
    <n v="5"/>
    <x v="2"/>
    <x v="1"/>
    <x v="1"/>
    <x v="1"/>
    <n v="0"/>
    <n v="1"/>
    <x v="4"/>
  </r>
  <r>
    <n v="3330"/>
    <x v="99"/>
    <x v="0"/>
    <x v="98"/>
    <x v="1"/>
    <n v="15"/>
    <x v="0"/>
    <x v="0"/>
    <x v="0"/>
    <x v="0"/>
    <n v="20"/>
    <n v="15"/>
    <x v="14"/>
  </r>
  <r>
    <n v="3331"/>
    <x v="100"/>
    <x v="2"/>
    <x v="99"/>
    <x v="0"/>
    <n v="10"/>
    <x v="0"/>
    <x v="1"/>
    <x v="1"/>
    <x v="0"/>
    <n v="20"/>
    <n v="5"/>
    <x v="13"/>
  </r>
  <r>
    <n v="3332"/>
    <x v="101"/>
    <x v="1"/>
    <x v="100"/>
    <x v="1"/>
    <n v="5"/>
    <x v="1"/>
    <x v="1"/>
    <x v="1"/>
    <x v="1"/>
    <n v="0"/>
    <n v="0"/>
    <x v="1"/>
  </r>
  <r>
    <n v="3333"/>
    <x v="102"/>
    <x v="0"/>
    <x v="101"/>
    <x v="0"/>
    <n v="15"/>
    <x v="2"/>
    <x v="0"/>
    <x v="0"/>
    <x v="0"/>
    <n v="20"/>
    <n v="20"/>
    <x v="8"/>
  </r>
  <r>
    <n v="3334"/>
    <x v="103"/>
    <x v="2"/>
    <x v="102"/>
    <x v="1"/>
    <n v="10"/>
    <x v="2"/>
    <x v="1"/>
    <x v="1"/>
    <x v="0"/>
    <n v="20"/>
    <n v="12"/>
    <x v="10"/>
  </r>
  <r>
    <n v="3335"/>
    <x v="104"/>
    <x v="1"/>
    <x v="103"/>
    <x v="0"/>
    <n v="5"/>
    <x v="0"/>
    <x v="1"/>
    <x v="1"/>
    <x v="1"/>
    <n v="0"/>
    <n v="2"/>
    <x v="11"/>
  </r>
  <r>
    <n v="3336"/>
    <x v="105"/>
    <x v="1"/>
    <x v="104"/>
    <x v="0"/>
    <n v="5"/>
    <x v="0"/>
    <x v="1"/>
    <x v="1"/>
    <x v="1"/>
    <n v="0"/>
    <n v="0"/>
    <x v="1"/>
  </r>
  <r>
    <n v="3337"/>
    <x v="106"/>
    <x v="0"/>
    <x v="105"/>
    <x v="1"/>
    <n v="15"/>
    <x v="2"/>
    <x v="0"/>
    <x v="0"/>
    <x v="0"/>
    <n v="20"/>
    <n v="7"/>
    <x v="12"/>
  </r>
  <r>
    <n v="3338"/>
    <x v="107"/>
    <x v="2"/>
    <x v="106"/>
    <x v="0"/>
    <n v="10"/>
    <x v="1"/>
    <x v="1"/>
    <x v="1"/>
    <x v="0"/>
    <n v="20"/>
    <n v="10"/>
    <x v="2"/>
  </r>
  <r>
    <n v="3339"/>
    <x v="108"/>
    <x v="1"/>
    <x v="107"/>
    <x v="1"/>
    <n v="5"/>
    <x v="2"/>
    <x v="1"/>
    <x v="1"/>
    <x v="1"/>
    <n v="0"/>
    <n v="1"/>
    <x v="4"/>
  </r>
  <r>
    <n v="3340"/>
    <x v="109"/>
    <x v="0"/>
    <x v="108"/>
    <x v="0"/>
    <n v="15"/>
    <x v="0"/>
    <x v="0"/>
    <x v="0"/>
    <x v="0"/>
    <n v="20"/>
    <n v="15"/>
    <x v="14"/>
  </r>
  <r>
    <n v="3341"/>
    <x v="110"/>
    <x v="2"/>
    <x v="109"/>
    <x v="1"/>
    <n v="10"/>
    <x v="0"/>
    <x v="1"/>
    <x v="1"/>
    <x v="0"/>
    <n v="20"/>
    <n v="5"/>
    <x v="13"/>
  </r>
  <r>
    <n v="3342"/>
    <x v="111"/>
    <x v="1"/>
    <x v="110"/>
    <x v="0"/>
    <n v="5"/>
    <x v="1"/>
    <x v="1"/>
    <x v="1"/>
    <x v="1"/>
    <n v="0"/>
    <n v="0"/>
    <x v="1"/>
  </r>
  <r>
    <n v="3343"/>
    <x v="112"/>
    <x v="0"/>
    <x v="111"/>
    <x v="1"/>
    <n v="15"/>
    <x v="2"/>
    <x v="0"/>
    <x v="0"/>
    <x v="0"/>
    <n v="20"/>
    <n v="20"/>
    <x v="8"/>
  </r>
  <r>
    <n v="3344"/>
    <x v="113"/>
    <x v="2"/>
    <x v="112"/>
    <x v="0"/>
    <n v="10"/>
    <x v="2"/>
    <x v="1"/>
    <x v="1"/>
    <x v="0"/>
    <n v="20"/>
    <n v="12"/>
    <x v="10"/>
  </r>
  <r>
    <n v="3345"/>
    <x v="114"/>
    <x v="1"/>
    <x v="113"/>
    <x v="1"/>
    <n v="5"/>
    <x v="0"/>
    <x v="1"/>
    <x v="1"/>
    <x v="1"/>
    <n v="0"/>
    <n v="2"/>
    <x v="11"/>
  </r>
  <r>
    <n v="3346"/>
    <x v="115"/>
    <x v="0"/>
    <x v="114"/>
    <x v="0"/>
    <n v="15"/>
    <x v="1"/>
    <x v="0"/>
    <x v="0"/>
    <x v="0"/>
    <n v="20"/>
    <n v="5"/>
    <x v="0"/>
  </r>
  <r>
    <n v="3347"/>
    <x v="116"/>
    <x v="2"/>
    <x v="115"/>
    <x v="1"/>
    <n v="10"/>
    <x v="0"/>
    <x v="1"/>
    <x v="1"/>
    <x v="0"/>
    <n v="20"/>
    <n v="10"/>
    <x v="2"/>
  </r>
  <r>
    <n v="3348"/>
    <x v="117"/>
    <x v="1"/>
    <x v="116"/>
    <x v="0"/>
    <n v="5"/>
    <x v="2"/>
    <x v="1"/>
    <x v="1"/>
    <x v="1"/>
    <n v="0"/>
    <n v="0"/>
    <x v="1"/>
  </r>
  <r>
    <n v="3349"/>
    <x v="93"/>
    <x v="0"/>
    <x v="117"/>
    <x v="1"/>
    <n v="15"/>
    <x v="0"/>
    <x v="0"/>
    <x v="0"/>
    <x v="0"/>
    <n v="20"/>
    <n v="3"/>
    <x v="3"/>
  </r>
  <r>
    <n v="3350"/>
    <x v="118"/>
    <x v="2"/>
    <x v="118"/>
    <x v="0"/>
    <n v="10"/>
    <x v="1"/>
    <x v="1"/>
    <x v="1"/>
    <x v="0"/>
    <n v="20"/>
    <n v="15"/>
    <x v="7"/>
  </r>
  <r>
    <n v="3351"/>
    <x v="119"/>
    <x v="1"/>
    <x v="119"/>
    <x v="1"/>
    <n v="5"/>
    <x v="0"/>
    <x v="1"/>
    <x v="1"/>
    <x v="1"/>
    <n v="0"/>
    <n v="1"/>
    <x v="4"/>
  </r>
  <r>
    <n v="3352"/>
    <x v="120"/>
    <x v="0"/>
    <x v="120"/>
    <x v="0"/>
    <n v="15"/>
    <x v="2"/>
    <x v="0"/>
    <x v="0"/>
    <x v="0"/>
    <n v="20"/>
    <n v="7"/>
    <x v="12"/>
  </r>
  <r>
    <n v="3353"/>
    <x v="121"/>
    <x v="2"/>
    <x v="121"/>
    <x v="1"/>
    <n v="10"/>
    <x v="0"/>
    <x v="1"/>
    <x v="1"/>
    <x v="0"/>
    <n v="20"/>
    <n v="10"/>
    <x v="2"/>
  </r>
  <r>
    <n v="3354"/>
    <x v="122"/>
    <x v="1"/>
    <x v="122"/>
    <x v="0"/>
    <n v="5"/>
    <x v="1"/>
    <x v="1"/>
    <x v="1"/>
    <x v="1"/>
    <n v="0"/>
    <n v="0"/>
    <x v="1"/>
  </r>
  <r>
    <n v="3355"/>
    <x v="123"/>
    <x v="0"/>
    <x v="123"/>
    <x v="1"/>
    <n v="15"/>
    <x v="0"/>
    <x v="0"/>
    <x v="0"/>
    <x v="0"/>
    <n v="20"/>
    <n v="20"/>
    <x v="8"/>
  </r>
  <r>
    <n v="3356"/>
    <x v="124"/>
    <x v="2"/>
    <x v="124"/>
    <x v="0"/>
    <n v="10"/>
    <x v="2"/>
    <x v="1"/>
    <x v="1"/>
    <x v="0"/>
    <n v="20"/>
    <n v="15"/>
    <x v="7"/>
  </r>
  <r>
    <n v="3357"/>
    <x v="125"/>
    <x v="1"/>
    <x v="125"/>
    <x v="1"/>
    <n v="5"/>
    <x v="0"/>
    <x v="1"/>
    <x v="1"/>
    <x v="1"/>
    <n v="0"/>
    <n v="1"/>
    <x v="4"/>
  </r>
  <r>
    <n v="3358"/>
    <x v="126"/>
    <x v="0"/>
    <x v="126"/>
    <x v="0"/>
    <n v="15"/>
    <x v="1"/>
    <x v="0"/>
    <x v="0"/>
    <x v="0"/>
    <n v="20"/>
    <n v="3"/>
    <x v="3"/>
  </r>
  <r>
    <n v="3359"/>
    <x v="127"/>
    <x v="2"/>
    <x v="127"/>
    <x v="1"/>
    <n v="10"/>
    <x v="0"/>
    <x v="1"/>
    <x v="1"/>
    <x v="0"/>
    <n v="20"/>
    <n v="10"/>
    <x v="2"/>
  </r>
  <r>
    <n v="3360"/>
    <x v="128"/>
    <x v="1"/>
    <x v="128"/>
    <x v="0"/>
    <n v="5"/>
    <x v="2"/>
    <x v="1"/>
    <x v="1"/>
    <x v="1"/>
    <n v="0"/>
    <n v="0"/>
    <x v="1"/>
  </r>
  <r>
    <n v="3361"/>
    <x v="129"/>
    <x v="0"/>
    <x v="129"/>
    <x v="1"/>
    <n v="15"/>
    <x v="0"/>
    <x v="0"/>
    <x v="0"/>
    <x v="0"/>
    <n v="20"/>
    <n v="15"/>
    <x v="14"/>
  </r>
  <r>
    <n v="3362"/>
    <x v="130"/>
    <x v="2"/>
    <x v="130"/>
    <x v="0"/>
    <n v="10"/>
    <x v="1"/>
    <x v="1"/>
    <x v="1"/>
    <x v="0"/>
    <n v="20"/>
    <n v="15"/>
    <x v="7"/>
  </r>
  <r>
    <n v="3363"/>
    <x v="131"/>
    <x v="1"/>
    <x v="131"/>
    <x v="1"/>
    <n v="5"/>
    <x v="0"/>
    <x v="1"/>
    <x v="1"/>
    <x v="1"/>
    <n v="0"/>
    <n v="1"/>
    <x v="4"/>
  </r>
  <r>
    <n v="3364"/>
    <x v="132"/>
    <x v="0"/>
    <x v="132"/>
    <x v="0"/>
    <n v="15"/>
    <x v="2"/>
    <x v="0"/>
    <x v="0"/>
    <x v="0"/>
    <n v="20"/>
    <n v="7"/>
    <x v="12"/>
  </r>
  <r>
    <n v="3365"/>
    <x v="133"/>
    <x v="2"/>
    <x v="133"/>
    <x v="1"/>
    <n v="10"/>
    <x v="0"/>
    <x v="1"/>
    <x v="1"/>
    <x v="0"/>
    <n v="20"/>
    <n v="10"/>
    <x v="2"/>
  </r>
  <r>
    <n v="3366"/>
    <x v="134"/>
    <x v="1"/>
    <x v="134"/>
    <x v="0"/>
    <n v="5"/>
    <x v="0"/>
    <x v="1"/>
    <x v="1"/>
    <x v="1"/>
    <n v="0"/>
    <n v="0"/>
    <x v="1"/>
  </r>
  <r>
    <n v="3367"/>
    <x v="135"/>
    <x v="0"/>
    <x v="135"/>
    <x v="1"/>
    <n v="15"/>
    <x v="2"/>
    <x v="0"/>
    <x v="0"/>
    <x v="0"/>
    <n v="20"/>
    <n v="7"/>
    <x v="12"/>
  </r>
  <r>
    <n v="3368"/>
    <x v="136"/>
    <x v="2"/>
    <x v="136"/>
    <x v="0"/>
    <n v="10"/>
    <x v="1"/>
    <x v="1"/>
    <x v="1"/>
    <x v="0"/>
    <n v="20"/>
    <n v="10"/>
    <x v="2"/>
  </r>
  <r>
    <n v="3369"/>
    <x v="137"/>
    <x v="1"/>
    <x v="137"/>
    <x v="1"/>
    <n v="5"/>
    <x v="2"/>
    <x v="1"/>
    <x v="1"/>
    <x v="1"/>
    <n v="0"/>
    <n v="1"/>
    <x v="4"/>
  </r>
  <r>
    <n v="3370"/>
    <x v="138"/>
    <x v="0"/>
    <x v="138"/>
    <x v="0"/>
    <n v="15"/>
    <x v="0"/>
    <x v="0"/>
    <x v="0"/>
    <x v="0"/>
    <n v="20"/>
    <n v="15"/>
    <x v="14"/>
  </r>
  <r>
    <n v="3371"/>
    <x v="139"/>
    <x v="2"/>
    <x v="139"/>
    <x v="1"/>
    <n v="10"/>
    <x v="0"/>
    <x v="1"/>
    <x v="1"/>
    <x v="0"/>
    <n v="20"/>
    <n v="5"/>
    <x v="13"/>
  </r>
  <r>
    <n v="3372"/>
    <x v="140"/>
    <x v="1"/>
    <x v="140"/>
    <x v="0"/>
    <n v="5"/>
    <x v="1"/>
    <x v="1"/>
    <x v="1"/>
    <x v="1"/>
    <n v="0"/>
    <n v="0"/>
    <x v="1"/>
  </r>
  <r>
    <n v="3373"/>
    <x v="141"/>
    <x v="0"/>
    <x v="141"/>
    <x v="1"/>
    <n v="15"/>
    <x v="2"/>
    <x v="0"/>
    <x v="0"/>
    <x v="0"/>
    <n v="20"/>
    <n v="20"/>
    <x v="8"/>
  </r>
  <r>
    <n v="3374"/>
    <x v="142"/>
    <x v="2"/>
    <x v="142"/>
    <x v="0"/>
    <n v="10"/>
    <x v="2"/>
    <x v="1"/>
    <x v="1"/>
    <x v="0"/>
    <n v="20"/>
    <n v="12"/>
    <x v="10"/>
  </r>
  <r>
    <n v="3375"/>
    <x v="143"/>
    <x v="1"/>
    <x v="143"/>
    <x v="1"/>
    <n v="5"/>
    <x v="0"/>
    <x v="1"/>
    <x v="1"/>
    <x v="1"/>
    <n v="0"/>
    <n v="2"/>
    <x v="11"/>
  </r>
  <r>
    <n v="3376"/>
    <x v="144"/>
    <x v="0"/>
    <x v="144"/>
    <x v="0"/>
    <n v="15"/>
    <x v="1"/>
    <x v="0"/>
    <x v="0"/>
    <x v="0"/>
    <n v="20"/>
    <n v="5"/>
    <x v="0"/>
  </r>
  <r>
    <n v="3377"/>
    <x v="145"/>
    <x v="2"/>
    <x v="145"/>
    <x v="1"/>
    <n v="10"/>
    <x v="0"/>
    <x v="1"/>
    <x v="1"/>
    <x v="0"/>
    <n v="20"/>
    <n v="10"/>
    <x v="2"/>
  </r>
  <r>
    <n v="3378"/>
    <x v="146"/>
    <x v="1"/>
    <x v="146"/>
    <x v="0"/>
    <n v="5"/>
    <x v="2"/>
    <x v="1"/>
    <x v="1"/>
    <x v="1"/>
    <n v="0"/>
    <n v="0"/>
    <x v="1"/>
  </r>
  <r>
    <n v="3379"/>
    <x v="147"/>
    <x v="0"/>
    <x v="147"/>
    <x v="1"/>
    <n v="15"/>
    <x v="0"/>
    <x v="0"/>
    <x v="0"/>
    <x v="0"/>
    <n v="20"/>
    <n v="3"/>
    <x v="3"/>
  </r>
  <r>
    <n v="3380"/>
    <x v="148"/>
    <x v="2"/>
    <x v="148"/>
    <x v="0"/>
    <n v="10"/>
    <x v="1"/>
    <x v="1"/>
    <x v="1"/>
    <x v="0"/>
    <n v="20"/>
    <n v="15"/>
    <x v="7"/>
  </r>
  <r>
    <n v="3381"/>
    <x v="149"/>
    <x v="1"/>
    <x v="149"/>
    <x v="1"/>
    <n v="5"/>
    <x v="0"/>
    <x v="1"/>
    <x v="1"/>
    <x v="1"/>
    <n v="0"/>
    <n v="1"/>
    <x v="4"/>
  </r>
  <r>
    <n v="3382"/>
    <x v="150"/>
    <x v="0"/>
    <x v="150"/>
    <x v="0"/>
    <n v="15"/>
    <x v="2"/>
    <x v="0"/>
    <x v="0"/>
    <x v="0"/>
    <n v="20"/>
    <n v="7"/>
    <x v="12"/>
  </r>
  <r>
    <n v="3383"/>
    <x v="151"/>
    <x v="2"/>
    <x v="151"/>
    <x v="1"/>
    <n v="10"/>
    <x v="0"/>
    <x v="1"/>
    <x v="1"/>
    <x v="0"/>
    <n v="20"/>
    <n v="10"/>
    <x v="2"/>
  </r>
  <r>
    <n v="3384"/>
    <x v="152"/>
    <x v="1"/>
    <x v="152"/>
    <x v="0"/>
    <n v="5"/>
    <x v="1"/>
    <x v="1"/>
    <x v="1"/>
    <x v="1"/>
    <n v="0"/>
    <n v="0"/>
    <x v="1"/>
  </r>
  <r>
    <n v="3385"/>
    <x v="153"/>
    <x v="0"/>
    <x v="153"/>
    <x v="1"/>
    <n v="15"/>
    <x v="0"/>
    <x v="0"/>
    <x v="0"/>
    <x v="0"/>
    <n v="20"/>
    <n v="20"/>
    <x v="8"/>
  </r>
  <r>
    <n v="3386"/>
    <x v="154"/>
    <x v="2"/>
    <x v="154"/>
    <x v="0"/>
    <n v="10"/>
    <x v="2"/>
    <x v="1"/>
    <x v="1"/>
    <x v="0"/>
    <n v="20"/>
    <n v="15"/>
    <x v="7"/>
  </r>
  <r>
    <n v="3387"/>
    <x v="155"/>
    <x v="1"/>
    <x v="155"/>
    <x v="1"/>
    <n v="5"/>
    <x v="0"/>
    <x v="1"/>
    <x v="1"/>
    <x v="1"/>
    <n v="0"/>
    <n v="1"/>
    <x v="4"/>
  </r>
  <r>
    <n v="3388"/>
    <x v="156"/>
    <x v="0"/>
    <x v="156"/>
    <x v="0"/>
    <n v="15"/>
    <x v="1"/>
    <x v="0"/>
    <x v="0"/>
    <x v="0"/>
    <n v="20"/>
    <n v="3"/>
    <x v="3"/>
  </r>
  <r>
    <n v="3389"/>
    <x v="157"/>
    <x v="2"/>
    <x v="157"/>
    <x v="1"/>
    <n v="10"/>
    <x v="0"/>
    <x v="1"/>
    <x v="1"/>
    <x v="0"/>
    <n v="20"/>
    <n v="10"/>
    <x v="2"/>
  </r>
  <r>
    <n v="3390"/>
    <x v="158"/>
    <x v="1"/>
    <x v="158"/>
    <x v="0"/>
    <n v="5"/>
    <x v="2"/>
    <x v="1"/>
    <x v="1"/>
    <x v="1"/>
    <n v="0"/>
    <n v="0"/>
    <x v="1"/>
  </r>
  <r>
    <n v="3391"/>
    <x v="58"/>
    <x v="0"/>
    <x v="159"/>
    <x v="1"/>
    <n v="15"/>
    <x v="0"/>
    <x v="0"/>
    <x v="0"/>
    <x v="0"/>
    <n v="20"/>
    <n v="15"/>
    <x v="14"/>
  </r>
  <r>
    <n v="3392"/>
    <x v="159"/>
    <x v="2"/>
    <x v="160"/>
    <x v="0"/>
    <n v="10"/>
    <x v="1"/>
    <x v="1"/>
    <x v="1"/>
    <x v="0"/>
    <n v="20"/>
    <n v="15"/>
    <x v="7"/>
  </r>
  <r>
    <n v="3393"/>
    <x v="160"/>
    <x v="1"/>
    <x v="161"/>
    <x v="1"/>
    <n v="5"/>
    <x v="0"/>
    <x v="1"/>
    <x v="1"/>
    <x v="1"/>
    <n v="0"/>
    <n v="1"/>
    <x v="4"/>
  </r>
  <r>
    <n v="3394"/>
    <x v="161"/>
    <x v="0"/>
    <x v="162"/>
    <x v="0"/>
    <n v="15"/>
    <x v="2"/>
    <x v="0"/>
    <x v="0"/>
    <x v="0"/>
    <n v="20"/>
    <n v="7"/>
    <x v="12"/>
  </r>
  <r>
    <n v="3395"/>
    <x v="162"/>
    <x v="2"/>
    <x v="163"/>
    <x v="1"/>
    <n v="10"/>
    <x v="0"/>
    <x v="1"/>
    <x v="1"/>
    <x v="0"/>
    <n v="20"/>
    <n v="10"/>
    <x v="2"/>
  </r>
  <r>
    <n v="3396"/>
    <x v="163"/>
    <x v="1"/>
    <x v="164"/>
    <x v="0"/>
    <n v="5"/>
    <x v="1"/>
    <x v="1"/>
    <x v="1"/>
    <x v="1"/>
    <n v="0"/>
    <n v="0"/>
    <x v="1"/>
  </r>
  <r>
    <n v="3397"/>
    <x v="90"/>
    <x v="0"/>
    <x v="165"/>
    <x v="1"/>
    <n v="15"/>
    <x v="0"/>
    <x v="0"/>
    <x v="0"/>
    <x v="0"/>
    <n v="20"/>
    <n v="20"/>
    <x v="8"/>
  </r>
  <r>
    <n v="3398"/>
    <x v="164"/>
    <x v="2"/>
    <x v="166"/>
    <x v="0"/>
    <n v="10"/>
    <x v="2"/>
    <x v="1"/>
    <x v="1"/>
    <x v="0"/>
    <n v="20"/>
    <n v="15"/>
    <x v="7"/>
  </r>
  <r>
    <n v="3399"/>
    <x v="165"/>
    <x v="1"/>
    <x v="167"/>
    <x v="1"/>
    <n v="5"/>
    <x v="0"/>
    <x v="1"/>
    <x v="1"/>
    <x v="1"/>
    <n v="0"/>
    <n v="1"/>
    <x v="4"/>
  </r>
  <r>
    <n v="3400"/>
    <x v="166"/>
    <x v="0"/>
    <x v="168"/>
    <x v="0"/>
    <n v="15"/>
    <x v="1"/>
    <x v="0"/>
    <x v="0"/>
    <x v="0"/>
    <n v="20"/>
    <n v="5"/>
    <x v="0"/>
  </r>
  <r>
    <n v="3401"/>
    <x v="167"/>
    <x v="2"/>
    <x v="169"/>
    <x v="1"/>
    <n v="10"/>
    <x v="0"/>
    <x v="1"/>
    <x v="1"/>
    <x v="0"/>
    <n v="20"/>
    <n v="10"/>
    <x v="2"/>
  </r>
  <r>
    <n v="3402"/>
    <x v="168"/>
    <x v="1"/>
    <x v="170"/>
    <x v="0"/>
    <n v="5"/>
    <x v="2"/>
    <x v="1"/>
    <x v="1"/>
    <x v="1"/>
    <n v="0"/>
    <n v="0"/>
    <x v="1"/>
  </r>
  <r>
    <n v="3403"/>
    <x v="169"/>
    <x v="0"/>
    <x v="171"/>
    <x v="1"/>
    <n v="15"/>
    <x v="0"/>
    <x v="0"/>
    <x v="0"/>
    <x v="0"/>
    <n v="20"/>
    <n v="3"/>
    <x v="3"/>
  </r>
  <r>
    <n v="3404"/>
    <x v="170"/>
    <x v="2"/>
    <x v="172"/>
    <x v="0"/>
    <n v="10"/>
    <x v="1"/>
    <x v="1"/>
    <x v="1"/>
    <x v="0"/>
    <n v="20"/>
    <n v="15"/>
    <x v="7"/>
  </r>
  <r>
    <n v="3405"/>
    <x v="171"/>
    <x v="1"/>
    <x v="173"/>
    <x v="1"/>
    <n v="5"/>
    <x v="0"/>
    <x v="1"/>
    <x v="1"/>
    <x v="1"/>
    <n v="0"/>
    <n v="1"/>
    <x v="4"/>
  </r>
  <r>
    <n v="3406"/>
    <x v="172"/>
    <x v="1"/>
    <x v="174"/>
    <x v="0"/>
    <n v="5"/>
    <x v="0"/>
    <x v="1"/>
    <x v="1"/>
    <x v="1"/>
    <n v="0"/>
    <n v="0"/>
    <x v="1"/>
  </r>
  <r>
    <n v="3407"/>
    <x v="173"/>
    <x v="0"/>
    <x v="175"/>
    <x v="1"/>
    <n v="15"/>
    <x v="2"/>
    <x v="0"/>
    <x v="0"/>
    <x v="0"/>
    <n v="20"/>
    <n v="7"/>
    <x v="12"/>
  </r>
  <r>
    <n v="3408"/>
    <x v="174"/>
    <x v="2"/>
    <x v="176"/>
    <x v="0"/>
    <n v="10"/>
    <x v="1"/>
    <x v="1"/>
    <x v="1"/>
    <x v="0"/>
    <n v="20"/>
    <n v="10"/>
    <x v="2"/>
  </r>
  <r>
    <n v="3409"/>
    <x v="175"/>
    <x v="1"/>
    <x v="177"/>
    <x v="1"/>
    <n v="5"/>
    <x v="2"/>
    <x v="1"/>
    <x v="1"/>
    <x v="1"/>
    <n v="0"/>
    <n v="1"/>
    <x v="4"/>
  </r>
  <r>
    <n v="3410"/>
    <x v="176"/>
    <x v="0"/>
    <x v="178"/>
    <x v="0"/>
    <n v="15"/>
    <x v="0"/>
    <x v="0"/>
    <x v="0"/>
    <x v="0"/>
    <n v="20"/>
    <n v="15"/>
    <x v="14"/>
  </r>
  <r>
    <n v="3411"/>
    <x v="177"/>
    <x v="2"/>
    <x v="179"/>
    <x v="1"/>
    <n v="10"/>
    <x v="0"/>
    <x v="1"/>
    <x v="1"/>
    <x v="0"/>
    <n v="20"/>
    <n v="5"/>
    <x v="13"/>
  </r>
  <r>
    <n v="3412"/>
    <x v="178"/>
    <x v="1"/>
    <x v="180"/>
    <x v="0"/>
    <n v="5"/>
    <x v="1"/>
    <x v="1"/>
    <x v="1"/>
    <x v="1"/>
    <n v="0"/>
    <n v="0"/>
    <x v="1"/>
  </r>
  <r>
    <n v="3413"/>
    <x v="179"/>
    <x v="0"/>
    <x v="181"/>
    <x v="1"/>
    <n v="15"/>
    <x v="2"/>
    <x v="0"/>
    <x v="0"/>
    <x v="0"/>
    <n v="20"/>
    <n v="20"/>
    <x v="8"/>
  </r>
  <r>
    <n v="3414"/>
    <x v="180"/>
    <x v="2"/>
    <x v="182"/>
    <x v="0"/>
    <n v="10"/>
    <x v="2"/>
    <x v="1"/>
    <x v="1"/>
    <x v="0"/>
    <n v="20"/>
    <n v="12"/>
    <x v="10"/>
  </r>
  <r>
    <n v="3415"/>
    <x v="181"/>
    <x v="1"/>
    <x v="183"/>
    <x v="1"/>
    <n v="5"/>
    <x v="0"/>
    <x v="1"/>
    <x v="1"/>
    <x v="1"/>
    <n v="0"/>
    <n v="2"/>
    <x v="11"/>
  </r>
  <r>
    <n v="3416"/>
    <x v="182"/>
    <x v="0"/>
    <x v="184"/>
    <x v="0"/>
    <n v="15"/>
    <x v="1"/>
    <x v="0"/>
    <x v="0"/>
    <x v="0"/>
    <n v="20"/>
    <n v="5"/>
    <x v="0"/>
  </r>
  <r>
    <n v="3417"/>
    <x v="183"/>
    <x v="2"/>
    <x v="185"/>
    <x v="1"/>
    <n v="10"/>
    <x v="0"/>
    <x v="1"/>
    <x v="1"/>
    <x v="0"/>
    <n v="20"/>
    <n v="10"/>
    <x v="2"/>
  </r>
  <r>
    <n v="3418"/>
    <x v="184"/>
    <x v="1"/>
    <x v="186"/>
    <x v="0"/>
    <n v="5"/>
    <x v="2"/>
    <x v="1"/>
    <x v="1"/>
    <x v="1"/>
    <n v="0"/>
    <n v="0"/>
    <x v="1"/>
  </r>
  <r>
    <n v="3419"/>
    <x v="185"/>
    <x v="0"/>
    <x v="187"/>
    <x v="1"/>
    <n v="15"/>
    <x v="0"/>
    <x v="0"/>
    <x v="0"/>
    <x v="0"/>
    <n v="20"/>
    <n v="3"/>
    <x v="3"/>
  </r>
  <r>
    <n v="3420"/>
    <x v="186"/>
    <x v="2"/>
    <x v="188"/>
    <x v="0"/>
    <n v="10"/>
    <x v="1"/>
    <x v="1"/>
    <x v="1"/>
    <x v="0"/>
    <n v="20"/>
    <n v="15"/>
    <x v="7"/>
  </r>
  <r>
    <n v="3421"/>
    <x v="15"/>
    <x v="1"/>
    <x v="189"/>
    <x v="1"/>
    <n v="5"/>
    <x v="0"/>
    <x v="1"/>
    <x v="1"/>
    <x v="1"/>
    <n v="0"/>
    <n v="1"/>
    <x v="4"/>
  </r>
  <r>
    <n v="3422"/>
    <x v="187"/>
    <x v="0"/>
    <x v="190"/>
    <x v="0"/>
    <n v="15"/>
    <x v="2"/>
    <x v="0"/>
    <x v="0"/>
    <x v="0"/>
    <n v="20"/>
    <n v="7"/>
    <x v="12"/>
  </r>
  <r>
    <n v="3423"/>
    <x v="188"/>
    <x v="2"/>
    <x v="191"/>
    <x v="1"/>
    <n v="10"/>
    <x v="0"/>
    <x v="1"/>
    <x v="1"/>
    <x v="0"/>
    <n v="20"/>
    <n v="10"/>
    <x v="2"/>
  </r>
  <r>
    <n v="3424"/>
    <x v="14"/>
    <x v="1"/>
    <x v="192"/>
    <x v="0"/>
    <n v="5"/>
    <x v="1"/>
    <x v="1"/>
    <x v="1"/>
    <x v="1"/>
    <n v="0"/>
    <n v="0"/>
    <x v="1"/>
  </r>
  <r>
    <n v="3425"/>
    <x v="189"/>
    <x v="0"/>
    <x v="193"/>
    <x v="1"/>
    <n v="15"/>
    <x v="0"/>
    <x v="0"/>
    <x v="0"/>
    <x v="0"/>
    <n v="20"/>
    <n v="20"/>
    <x v="8"/>
  </r>
  <r>
    <n v="3426"/>
    <x v="167"/>
    <x v="2"/>
    <x v="194"/>
    <x v="0"/>
    <n v="10"/>
    <x v="2"/>
    <x v="1"/>
    <x v="1"/>
    <x v="0"/>
    <n v="20"/>
    <n v="15"/>
    <x v="7"/>
  </r>
  <r>
    <n v="3427"/>
    <x v="190"/>
    <x v="1"/>
    <x v="195"/>
    <x v="1"/>
    <n v="5"/>
    <x v="0"/>
    <x v="1"/>
    <x v="1"/>
    <x v="1"/>
    <n v="0"/>
    <n v="1"/>
    <x v="4"/>
  </r>
  <r>
    <n v="3428"/>
    <x v="191"/>
    <x v="0"/>
    <x v="196"/>
    <x v="0"/>
    <n v="15"/>
    <x v="1"/>
    <x v="0"/>
    <x v="0"/>
    <x v="0"/>
    <n v="20"/>
    <n v="3"/>
    <x v="3"/>
  </r>
  <r>
    <n v="3429"/>
    <x v="192"/>
    <x v="2"/>
    <x v="197"/>
    <x v="1"/>
    <n v="10"/>
    <x v="0"/>
    <x v="1"/>
    <x v="1"/>
    <x v="0"/>
    <n v="20"/>
    <n v="10"/>
    <x v="2"/>
  </r>
  <r>
    <n v="3430"/>
    <x v="193"/>
    <x v="1"/>
    <x v="198"/>
    <x v="0"/>
    <n v="5"/>
    <x v="2"/>
    <x v="1"/>
    <x v="1"/>
    <x v="1"/>
    <n v="0"/>
    <n v="0"/>
    <x v="1"/>
  </r>
  <r>
    <n v="3431"/>
    <x v="194"/>
    <x v="0"/>
    <x v="199"/>
    <x v="1"/>
    <n v="15"/>
    <x v="0"/>
    <x v="0"/>
    <x v="0"/>
    <x v="0"/>
    <n v="20"/>
    <n v="15"/>
    <x v="14"/>
  </r>
  <r>
    <n v="3432"/>
    <x v="195"/>
    <x v="2"/>
    <x v="200"/>
    <x v="0"/>
    <n v="10"/>
    <x v="1"/>
    <x v="1"/>
    <x v="1"/>
    <x v="0"/>
    <n v="20"/>
    <n v="15"/>
    <x v="7"/>
  </r>
  <r>
    <n v="3433"/>
    <x v="196"/>
    <x v="1"/>
    <x v="201"/>
    <x v="1"/>
    <n v="5"/>
    <x v="0"/>
    <x v="1"/>
    <x v="1"/>
    <x v="1"/>
    <n v="0"/>
    <n v="1"/>
    <x v="4"/>
  </r>
  <r>
    <n v="3434"/>
    <x v="197"/>
    <x v="0"/>
    <x v="202"/>
    <x v="0"/>
    <n v="15"/>
    <x v="2"/>
    <x v="0"/>
    <x v="0"/>
    <x v="0"/>
    <n v="20"/>
    <n v="7"/>
    <x v="12"/>
  </r>
  <r>
    <n v="3435"/>
    <x v="198"/>
    <x v="2"/>
    <x v="203"/>
    <x v="1"/>
    <n v="10"/>
    <x v="0"/>
    <x v="1"/>
    <x v="1"/>
    <x v="0"/>
    <n v="20"/>
    <n v="10"/>
    <x v="2"/>
  </r>
  <r>
    <n v="3436"/>
    <x v="199"/>
    <x v="1"/>
    <x v="204"/>
    <x v="0"/>
    <n v="5"/>
    <x v="0"/>
    <x v="1"/>
    <x v="1"/>
    <x v="1"/>
    <n v="0"/>
    <n v="0"/>
    <x v="1"/>
  </r>
  <r>
    <n v="3437"/>
    <x v="200"/>
    <x v="0"/>
    <x v="205"/>
    <x v="1"/>
    <n v="15"/>
    <x v="2"/>
    <x v="0"/>
    <x v="0"/>
    <x v="0"/>
    <n v="20"/>
    <n v="7"/>
    <x v="12"/>
  </r>
  <r>
    <n v="3438"/>
    <x v="201"/>
    <x v="2"/>
    <x v="206"/>
    <x v="0"/>
    <n v="10"/>
    <x v="1"/>
    <x v="1"/>
    <x v="1"/>
    <x v="0"/>
    <n v="20"/>
    <n v="10"/>
    <x v="2"/>
  </r>
  <r>
    <n v="3439"/>
    <x v="202"/>
    <x v="1"/>
    <x v="207"/>
    <x v="1"/>
    <n v="5"/>
    <x v="2"/>
    <x v="1"/>
    <x v="1"/>
    <x v="1"/>
    <n v="0"/>
    <n v="1"/>
    <x v="4"/>
  </r>
  <r>
    <n v="3440"/>
    <x v="203"/>
    <x v="0"/>
    <x v="208"/>
    <x v="0"/>
    <n v="15"/>
    <x v="0"/>
    <x v="0"/>
    <x v="0"/>
    <x v="0"/>
    <n v="20"/>
    <n v="15"/>
    <x v="14"/>
  </r>
  <r>
    <n v="3441"/>
    <x v="204"/>
    <x v="2"/>
    <x v="209"/>
    <x v="1"/>
    <n v="10"/>
    <x v="0"/>
    <x v="1"/>
    <x v="1"/>
    <x v="0"/>
    <n v="20"/>
    <n v="5"/>
    <x v="13"/>
  </r>
  <r>
    <n v="3442"/>
    <x v="205"/>
    <x v="1"/>
    <x v="210"/>
    <x v="0"/>
    <n v="5"/>
    <x v="1"/>
    <x v="1"/>
    <x v="1"/>
    <x v="1"/>
    <n v="0"/>
    <n v="0"/>
    <x v="1"/>
  </r>
  <r>
    <n v="3443"/>
    <x v="206"/>
    <x v="0"/>
    <x v="211"/>
    <x v="1"/>
    <n v="15"/>
    <x v="2"/>
    <x v="0"/>
    <x v="0"/>
    <x v="0"/>
    <n v="20"/>
    <n v="20"/>
    <x v="8"/>
  </r>
  <r>
    <n v="3444"/>
    <x v="207"/>
    <x v="2"/>
    <x v="212"/>
    <x v="0"/>
    <n v="10"/>
    <x v="2"/>
    <x v="1"/>
    <x v="1"/>
    <x v="0"/>
    <n v="20"/>
    <n v="12"/>
    <x v="10"/>
  </r>
  <r>
    <n v="3445"/>
    <x v="37"/>
    <x v="1"/>
    <x v="213"/>
    <x v="1"/>
    <n v="5"/>
    <x v="0"/>
    <x v="1"/>
    <x v="1"/>
    <x v="1"/>
    <n v="0"/>
    <n v="2"/>
    <x v="11"/>
  </r>
  <r>
    <n v="3446"/>
    <x v="208"/>
    <x v="0"/>
    <x v="214"/>
    <x v="0"/>
    <n v="15"/>
    <x v="1"/>
    <x v="0"/>
    <x v="0"/>
    <x v="0"/>
    <n v="20"/>
    <n v="5"/>
    <x v="0"/>
  </r>
  <r>
    <n v="3447"/>
    <x v="209"/>
    <x v="2"/>
    <x v="215"/>
    <x v="1"/>
    <n v="10"/>
    <x v="0"/>
    <x v="1"/>
    <x v="1"/>
    <x v="0"/>
    <n v="20"/>
    <n v="10"/>
    <x v="2"/>
  </r>
  <r>
    <n v="3448"/>
    <x v="210"/>
    <x v="1"/>
    <x v="216"/>
    <x v="0"/>
    <n v="5"/>
    <x v="2"/>
    <x v="1"/>
    <x v="1"/>
    <x v="1"/>
    <n v="0"/>
    <n v="0"/>
    <x v="1"/>
  </r>
  <r>
    <n v="3449"/>
    <x v="211"/>
    <x v="0"/>
    <x v="217"/>
    <x v="1"/>
    <n v="15"/>
    <x v="0"/>
    <x v="0"/>
    <x v="0"/>
    <x v="0"/>
    <n v="20"/>
    <n v="3"/>
    <x v="3"/>
  </r>
  <r>
    <n v="3450"/>
    <x v="212"/>
    <x v="2"/>
    <x v="218"/>
    <x v="0"/>
    <n v="10"/>
    <x v="1"/>
    <x v="1"/>
    <x v="1"/>
    <x v="0"/>
    <n v="20"/>
    <n v="15"/>
    <x v="7"/>
  </r>
  <r>
    <n v="3451"/>
    <x v="213"/>
    <x v="1"/>
    <x v="219"/>
    <x v="1"/>
    <n v="5"/>
    <x v="0"/>
    <x v="1"/>
    <x v="1"/>
    <x v="1"/>
    <n v="0"/>
    <n v="1"/>
    <x v="4"/>
  </r>
  <r>
    <n v="3452"/>
    <x v="191"/>
    <x v="0"/>
    <x v="220"/>
    <x v="0"/>
    <n v="15"/>
    <x v="2"/>
    <x v="0"/>
    <x v="0"/>
    <x v="0"/>
    <n v="20"/>
    <n v="7"/>
    <x v="12"/>
  </r>
  <r>
    <n v="3453"/>
    <x v="45"/>
    <x v="2"/>
    <x v="221"/>
    <x v="1"/>
    <n v="10"/>
    <x v="0"/>
    <x v="1"/>
    <x v="1"/>
    <x v="0"/>
    <n v="20"/>
    <n v="10"/>
    <x v="2"/>
  </r>
  <r>
    <n v="3454"/>
    <x v="214"/>
    <x v="1"/>
    <x v="222"/>
    <x v="0"/>
    <n v="5"/>
    <x v="1"/>
    <x v="1"/>
    <x v="1"/>
    <x v="1"/>
    <n v="0"/>
    <n v="0"/>
    <x v="1"/>
  </r>
  <r>
    <n v="3455"/>
    <x v="215"/>
    <x v="0"/>
    <x v="223"/>
    <x v="1"/>
    <n v="15"/>
    <x v="0"/>
    <x v="0"/>
    <x v="0"/>
    <x v="0"/>
    <n v="20"/>
    <n v="20"/>
    <x v="8"/>
  </r>
  <r>
    <n v="3456"/>
    <x v="216"/>
    <x v="2"/>
    <x v="224"/>
    <x v="0"/>
    <n v="10"/>
    <x v="2"/>
    <x v="1"/>
    <x v="1"/>
    <x v="0"/>
    <n v="20"/>
    <n v="15"/>
    <x v="7"/>
  </r>
  <r>
    <n v="3457"/>
    <x v="217"/>
    <x v="1"/>
    <x v="225"/>
    <x v="1"/>
    <n v="5"/>
    <x v="0"/>
    <x v="1"/>
    <x v="1"/>
    <x v="1"/>
    <n v="0"/>
    <n v="1"/>
    <x v="4"/>
  </r>
  <r>
    <n v="3458"/>
    <x v="218"/>
    <x v="0"/>
    <x v="226"/>
    <x v="0"/>
    <n v="15"/>
    <x v="1"/>
    <x v="0"/>
    <x v="0"/>
    <x v="0"/>
    <n v="20"/>
    <n v="3"/>
    <x v="3"/>
  </r>
  <r>
    <n v="3459"/>
    <x v="219"/>
    <x v="2"/>
    <x v="227"/>
    <x v="1"/>
    <n v="10"/>
    <x v="0"/>
    <x v="1"/>
    <x v="1"/>
    <x v="0"/>
    <n v="20"/>
    <n v="10"/>
    <x v="2"/>
  </r>
  <r>
    <n v="3460"/>
    <x v="127"/>
    <x v="1"/>
    <x v="228"/>
    <x v="0"/>
    <n v="5"/>
    <x v="2"/>
    <x v="1"/>
    <x v="1"/>
    <x v="1"/>
    <n v="0"/>
    <n v="0"/>
    <x v="1"/>
  </r>
  <r>
    <n v="3461"/>
    <x v="220"/>
    <x v="0"/>
    <x v="229"/>
    <x v="1"/>
    <n v="15"/>
    <x v="0"/>
    <x v="0"/>
    <x v="0"/>
    <x v="0"/>
    <n v="20"/>
    <n v="15"/>
    <x v="14"/>
  </r>
  <r>
    <n v="3462"/>
    <x v="221"/>
    <x v="2"/>
    <x v="230"/>
    <x v="0"/>
    <n v="10"/>
    <x v="1"/>
    <x v="1"/>
    <x v="1"/>
    <x v="0"/>
    <n v="20"/>
    <n v="15"/>
    <x v="7"/>
  </r>
  <r>
    <n v="3463"/>
    <x v="222"/>
    <x v="1"/>
    <x v="231"/>
    <x v="1"/>
    <n v="5"/>
    <x v="0"/>
    <x v="1"/>
    <x v="1"/>
    <x v="1"/>
    <n v="0"/>
    <n v="1"/>
    <x v="4"/>
  </r>
  <r>
    <n v="3464"/>
    <x v="223"/>
    <x v="0"/>
    <x v="232"/>
    <x v="0"/>
    <n v="15"/>
    <x v="2"/>
    <x v="0"/>
    <x v="0"/>
    <x v="0"/>
    <n v="20"/>
    <n v="7"/>
    <x v="12"/>
  </r>
  <r>
    <n v="3465"/>
    <x v="224"/>
    <x v="2"/>
    <x v="233"/>
    <x v="1"/>
    <n v="10"/>
    <x v="0"/>
    <x v="1"/>
    <x v="1"/>
    <x v="0"/>
    <n v="20"/>
    <n v="10"/>
    <x v="2"/>
  </r>
  <r>
    <n v="3466"/>
    <x v="225"/>
    <x v="1"/>
    <x v="234"/>
    <x v="0"/>
    <n v="5"/>
    <x v="1"/>
    <x v="1"/>
    <x v="1"/>
    <x v="1"/>
    <n v="0"/>
    <n v="0"/>
    <x v="1"/>
  </r>
  <r>
    <n v="3467"/>
    <x v="226"/>
    <x v="0"/>
    <x v="235"/>
    <x v="1"/>
    <n v="15"/>
    <x v="0"/>
    <x v="0"/>
    <x v="0"/>
    <x v="0"/>
    <n v="20"/>
    <n v="15"/>
    <x v="14"/>
  </r>
  <r>
    <n v="3468"/>
    <x v="227"/>
    <x v="2"/>
    <x v="236"/>
    <x v="0"/>
    <n v="10"/>
    <x v="2"/>
    <x v="1"/>
    <x v="1"/>
    <x v="0"/>
    <n v="20"/>
    <n v="12"/>
    <x v="10"/>
  </r>
  <r>
    <n v="3469"/>
    <x v="228"/>
    <x v="1"/>
    <x v="237"/>
    <x v="1"/>
    <n v="5"/>
    <x v="0"/>
    <x v="1"/>
    <x v="1"/>
    <x v="1"/>
    <n v="0"/>
    <n v="2"/>
    <x v="11"/>
  </r>
  <r>
    <n v="3470"/>
    <x v="229"/>
    <x v="0"/>
    <x v="238"/>
    <x v="0"/>
    <n v="15"/>
    <x v="1"/>
    <x v="0"/>
    <x v="0"/>
    <x v="0"/>
    <n v="20"/>
    <n v="5"/>
    <x v="0"/>
  </r>
  <r>
    <n v="3471"/>
    <x v="230"/>
    <x v="2"/>
    <x v="239"/>
    <x v="1"/>
    <n v="10"/>
    <x v="0"/>
    <x v="1"/>
    <x v="1"/>
    <x v="0"/>
    <n v="20"/>
    <n v="10"/>
    <x v="2"/>
  </r>
  <r>
    <n v="3472"/>
    <x v="231"/>
    <x v="1"/>
    <x v="240"/>
    <x v="0"/>
    <n v="5"/>
    <x v="2"/>
    <x v="1"/>
    <x v="1"/>
    <x v="1"/>
    <n v="0"/>
    <n v="0"/>
    <x v="1"/>
  </r>
  <r>
    <n v="3473"/>
    <x v="140"/>
    <x v="0"/>
    <x v="241"/>
    <x v="1"/>
    <n v="15"/>
    <x v="0"/>
    <x v="0"/>
    <x v="0"/>
    <x v="0"/>
    <n v="20"/>
    <n v="3"/>
    <x v="3"/>
  </r>
  <r>
    <n v="3474"/>
    <x v="232"/>
    <x v="2"/>
    <x v="242"/>
    <x v="0"/>
    <n v="10"/>
    <x v="1"/>
    <x v="1"/>
    <x v="1"/>
    <x v="0"/>
    <n v="20"/>
    <n v="15"/>
    <x v="7"/>
  </r>
  <r>
    <n v="3475"/>
    <x v="233"/>
    <x v="1"/>
    <x v="243"/>
    <x v="1"/>
    <n v="5"/>
    <x v="0"/>
    <x v="1"/>
    <x v="1"/>
    <x v="1"/>
    <n v="0"/>
    <n v="1"/>
    <x v="4"/>
  </r>
  <r>
    <n v="3476"/>
    <x v="234"/>
    <x v="0"/>
    <x v="244"/>
    <x v="0"/>
    <n v="15"/>
    <x v="2"/>
    <x v="0"/>
    <x v="0"/>
    <x v="0"/>
    <n v="20"/>
    <n v="7"/>
    <x v="12"/>
  </r>
  <r>
    <n v="3477"/>
    <x v="235"/>
    <x v="2"/>
    <x v="245"/>
    <x v="1"/>
    <n v="10"/>
    <x v="0"/>
    <x v="1"/>
    <x v="1"/>
    <x v="0"/>
    <n v="20"/>
    <n v="10"/>
    <x v="2"/>
  </r>
  <r>
    <n v="3478"/>
    <x v="236"/>
    <x v="1"/>
    <x v="246"/>
    <x v="0"/>
    <n v="5"/>
    <x v="1"/>
    <x v="1"/>
    <x v="1"/>
    <x v="1"/>
    <n v="0"/>
    <n v="0"/>
    <x v="1"/>
  </r>
  <r>
    <n v="3479"/>
    <x v="237"/>
    <x v="0"/>
    <x v="247"/>
    <x v="1"/>
    <n v="15"/>
    <x v="0"/>
    <x v="0"/>
    <x v="0"/>
    <x v="0"/>
    <n v="20"/>
    <n v="20"/>
    <x v="8"/>
  </r>
  <r>
    <n v="3480"/>
    <x v="238"/>
    <x v="2"/>
    <x v="248"/>
    <x v="0"/>
    <n v="10"/>
    <x v="2"/>
    <x v="1"/>
    <x v="1"/>
    <x v="0"/>
    <n v="20"/>
    <n v="15"/>
    <x v="7"/>
  </r>
  <r>
    <n v="3481"/>
    <x v="239"/>
    <x v="1"/>
    <x v="249"/>
    <x v="1"/>
    <n v="5"/>
    <x v="0"/>
    <x v="1"/>
    <x v="1"/>
    <x v="1"/>
    <n v="0"/>
    <n v="1"/>
    <x v="4"/>
  </r>
  <r>
    <n v="3482"/>
    <x v="240"/>
    <x v="0"/>
    <x v="250"/>
    <x v="0"/>
    <n v="15"/>
    <x v="1"/>
    <x v="0"/>
    <x v="0"/>
    <x v="0"/>
    <n v="20"/>
    <n v="3"/>
    <x v="3"/>
  </r>
  <r>
    <n v="3483"/>
    <x v="241"/>
    <x v="2"/>
    <x v="251"/>
    <x v="1"/>
    <n v="10"/>
    <x v="0"/>
    <x v="1"/>
    <x v="1"/>
    <x v="0"/>
    <n v="20"/>
    <n v="10"/>
    <x v="2"/>
  </r>
  <r>
    <n v="3484"/>
    <x v="242"/>
    <x v="1"/>
    <x v="252"/>
    <x v="0"/>
    <n v="5"/>
    <x v="2"/>
    <x v="1"/>
    <x v="1"/>
    <x v="1"/>
    <n v="0"/>
    <n v="0"/>
    <x v="1"/>
  </r>
  <r>
    <n v="3485"/>
    <x v="243"/>
    <x v="0"/>
    <x v="253"/>
    <x v="1"/>
    <n v="15"/>
    <x v="0"/>
    <x v="0"/>
    <x v="0"/>
    <x v="0"/>
    <n v="20"/>
    <n v="15"/>
    <x v="14"/>
  </r>
  <r>
    <n v="3486"/>
    <x v="244"/>
    <x v="1"/>
    <x v="254"/>
    <x v="0"/>
    <n v="5"/>
    <x v="0"/>
    <x v="1"/>
    <x v="1"/>
    <x v="1"/>
    <n v="0"/>
    <n v="0"/>
    <x v="1"/>
  </r>
  <r>
    <n v="3487"/>
    <x v="245"/>
    <x v="0"/>
    <x v="255"/>
    <x v="1"/>
    <n v="15"/>
    <x v="2"/>
    <x v="0"/>
    <x v="0"/>
    <x v="0"/>
    <n v="20"/>
    <n v="7"/>
    <x v="12"/>
  </r>
  <r>
    <n v="3488"/>
    <x v="246"/>
    <x v="2"/>
    <x v="256"/>
    <x v="0"/>
    <n v="10"/>
    <x v="1"/>
    <x v="1"/>
    <x v="1"/>
    <x v="0"/>
    <n v="20"/>
    <n v="10"/>
    <x v="2"/>
  </r>
  <r>
    <n v="3489"/>
    <x v="247"/>
    <x v="1"/>
    <x v="257"/>
    <x v="1"/>
    <n v="5"/>
    <x v="2"/>
    <x v="1"/>
    <x v="1"/>
    <x v="1"/>
    <n v="0"/>
    <n v="1"/>
    <x v="4"/>
  </r>
  <r>
    <n v="3490"/>
    <x v="248"/>
    <x v="0"/>
    <x v="258"/>
    <x v="0"/>
    <n v="15"/>
    <x v="0"/>
    <x v="0"/>
    <x v="0"/>
    <x v="0"/>
    <n v="20"/>
    <n v="15"/>
    <x v="14"/>
  </r>
  <r>
    <n v="3491"/>
    <x v="249"/>
    <x v="2"/>
    <x v="259"/>
    <x v="1"/>
    <n v="10"/>
    <x v="0"/>
    <x v="1"/>
    <x v="1"/>
    <x v="0"/>
    <n v="20"/>
    <n v="5"/>
    <x v="13"/>
  </r>
  <r>
    <n v="3492"/>
    <x v="250"/>
    <x v="1"/>
    <x v="260"/>
    <x v="0"/>
    <n v="5"/>
    <x v="1"/>
    <x v="1"/>
    <x v="1"/>
    <x v="1"/>
    <n v="0"/>
    <n v="0"/>
    <x v="1"/>
  </r>
  <r>
    <n v="3493"/>
    <x v="251"/>
    <x v="0"/>
    <x v="261"/>
    <x v="1"/>
    <n v="15"/>
    <x v="2"/>
    <x v="0"/>
    <x v="0"/>
    <x v="0"/>
    <n v="20"/>
    <n v="20"/>
    <x v="8"/>
  </r>
  <r>
    <n v="3494"/>
    <x v="252"/>
    <x v="2"/>
    <x v="262"/>
    <x v="0"/>
    <n v="10"/>
    <x v="2"/>
    <x v="1"/>
    <x v="1"/>
    <x v="0"/>
    <n v="20"/>
    <n v="12"/>
    <x v="10"/>
  </r>
  <r>
    <n v="3495"/>
    <x v="253"/>
    <x v="1"/>
    <x v="263"/>
    <x v="1"/>
    <n v="5"/>
    <x v="0"/>
    <x v="1"/>
    <x v="1"/>
    <x v="1"/>
    <n v="0"/>
    <n v="2"/>
    <x v="11"/>
  </r>
  <r>
    <n v="3496"/>
    <x v="254"/>
    <x v="0"/>
    <x v="264"/>
    <x v="0"/>
    <n v="15"/>
    <x v="1"/>
    <x v="0"/>
    <x v="0"/>
    <x v="0"/>
    <n v="20"/>
    <n v="5"/>
    <x v="0"/>
  </r>
  <r>
    <n v="3497"/>
    <x v="255"/>
    <x v="2"/>
    <x v="265"/>
    <x v="1"/>
    <n v="10"/>
    <x v="0"/>
    <x v="1"/>
    <x v="1"/>
    <x v="0"/>
    <n v="20"/>
    <n v="10"/>
    <x v="2"/>
  </r>
  <r>
    <n v="3498"/>
    <x v="256"/>
    <x v="1"/>
    <x v="266"/>
    <x v="0"/>
    <n v="5"/>
    <x v="2"/>
    <x v="1"/>
    <x v="1"/>
    <x v="1"/>
    <n v="0"/>
    <n v="0"/>
    <x v="1"/>
  </r>
  <r>
    <n v="3499"/>
    <x v="257"/>
    <x v="0"/>
    <x v="267"/>
    <x v="1"/>
    <n v="15"/>
    <x v="0"/>
    <x v="0"/>
    <x v="0"/>
    <x v="0"/>
    <n v="20"/>
    <n v="3"/>
    <x v="3"/>
  </r>
  <r>
    <n v="3500"/>
    <x v="258"/>
    <x v="2"/>
    <x v="268"/>
    <x v="0"/>
    <n v="10"/>
    <x v="1"/>
    <x v="1"/>
    <x v="1"/>
    <x v="0"/>
    <n v="20"/>
    <n v="15"/>
    <x v="7"/>
  </r>
  <r>
    <n v="3501"/>
    <x v="259"/>
    <x v="1"/>
    <x v="269"/>
    <x v="1"/>
    <n v="5"/>
    <x v="0"/>
    <x v="1"/>
    <x v="1"/>
    <x v="1"/>
    <n v="0"/>
    <n v="1"/>
    <x v="4"/>
  </r>
  <r>
    <n v="3502"/>
    <x v="260"/>
    <x v="0"/>
    <x v="270"/>
    <x v="0"/>
    <n v="15"/>
    <x v="2"/>
    <x v="0"/>
    <x v="0"/>
    <x v="0"/>
    <n v="20"/>
    <n v="7"/>
    <x v="12"/>
  </r>
  <r>
    <n v="3503"/>
    <x v="119"/>
    <x v="2"/>
    <x v="271"/>
    <x v="1"/>
    <n v="10"/>
    <x v="0"/>
    <x v="1"/>
    <x v="1"/>
    <x v="0"/>
    <n v="20"/>
    <n v="10"/>
    <x v="2"/>
  </r>
  <r>
    <n v="3504"/>
    <x v="261"/>
    <x v="1"/>
    <x v="272"/>
    <x v="0"/>
    <n v="5"/>
    <x v="1"/>
    <x v="1"/>
    <x v="1"/>
    <x v="1"/>
    <n v="0"/>
    <n v="0"/>
    <x v="1"/>
  </r>
  <r>
    <n v="3505"/>
    <x v="262"/>
    <x v="0"/>
    <x v="273"/>
    <x v="1"/>
    <n v="15"/>
    <x v="0"/>
    <x v="0"/>
    <x v="0"/>
    <x v="0"/>
    <n v="20"/>
    <n v="20"/>
    <x v="8"/>
  </r>
  <r>
    <n v="3506"/>
    <x v="263"/>
    <x v="2"/>
    <x v="274"/>
    <x v="0"/>
    <n v="10"/>
    <x v="2"/>
    <x v="1"/>
    <x v="1"/>
    <x v="0"/>
    <n v="20"/>
    <n v="15"/>
    <x v="7"/>
  </r>
  <r>
    <n v="3507"/>
    <x v="264"/>
    <x v="1"/>
    <x v="275"/>
    <x v="1"/>
    <n v="5"/>
    <x v="0"/>
    <x v="1"/>
    <x v="1"/>
    <x v="1"/>
    <n v="0"/>
    <n v="1"/>
    <x v="4"/>
  </r>
  <r>
    <n v="3508"/>
    <x v="265"/>
    <x v="0"/>
    <x v="276"/>
    <x v="0"/>
    <n v="15"/>
    <x v="1"/>
    <x v="0"/>
    <x v="0"/>
    <x v="0"/>
    <n v="20"/>
    <n v="3"/>
    <x v="3"/>
  </r>
  <r>
    <n v="3509"/>
    <x v="266"/>
    <x v="2"/>
    <x v="277"/>
    <x v="1"/>
    <n v="10"/>
    <x v="0"/>
    <x v="1"/>
    <x v="1"/>
    <x v="0"/>
    <n v="20"/>
    <n v="10"/>
    <x v="2"/>
  </r>
  <r>
    <n v="3510"/>
    <x v="267"/>
    <x v="1"/>
    <x v="278"/>
    <x v="0"/>
    <n v="5"/>
    <x v="2"/>
    <x v="1"/>
    <x v="1"/>
    <x v="1"/>
    <n v="0"/>
    <n v="0"/>
    <x v="1"/>
  </r>
  <r>
    <n v="3511"/>
    <x v="268"/>
    <x v="0"/>
    <x v="279"/>
    <x v="1"/>
    <n v="15"/>
    <x v="0"/>
    <x v="0"/>
    <x v="0"/>
    <x v="0"/>
    <n v="20"/>
    <n v="15"/>
    <x v="14"/>
  </r>
  <r>
    <n v="3512"/>
    <x v="269"/>
    <x v="2"/>
    <x v="280"/>
    <x v="0"/>
    <n v="10"/>
    <x v="1"/>
    <x v="1"/>
    <x v="1"/>
    <x v="0"/>
    <n v="20"/>
    <n v="15"/>
    <x v="7"/>
  </r>
  <r>
    <n v="3513"/>
    <x v="270"/>
    <x v="1"/>
    <x v="281"/>
    <x v="1"/>
    <n v="5"/>
    <x v="0"/>
    <x v="1"/>
    <x v="1"/>
    <x v="1"/>
    <n v="0"/>
    <n v="1"/>
    <x v="4"/>
  </r>
  <r>
    <n v="3514"/>
    <x v="271"/>
    <x v="0"/>
    <x v="282"/>
    <x v="0"/>
    <n v="15"/>
    <x v="2"/>
    <x v="0"/>
    <x v="0"/>
    <x v="0"/>
    <n v="20"/>
    <n v="7"/>
    <x v="12"/>
  </r>
  <r>
    <n v="3515"/>
    <x v="130"/>
    <x v="2"/>
    <x v="283"/>
    <x v="1"/>
    <n v="10"/>
    <x v="0"/>
    <x v="1"/>
    <x v="1"/>
    <x v="0"/>
    <n v="20"/>
    <n v="10"/>
    <x v="2"/>
  </r>
  <r>
    <n v="3516"/>
    <x v="131"/>
    <x v="1"/>
    <x v="284"/>
    <x v="0"/>
    <n v="5"/>
    <x v="1"/>
    <x v="1"/>
    <x v="1"/>
    <x v="1"/>
    <n v="0"/>
    <n v="0"/>
    <x v="1"/>
  </r>
  <r>
    <n v="3517"/>
    <x v="181"/>
    <x v="0"/>
    <x v="285"/>
    <x v="1"/>
    <n v="15"/>
    <x v="0"/>
    <x v="0"/>
    <x v="0"/>
    <x v="0"/>
    <n v="20"/>
    <n v="20"/>
    <x v="8"/>
  </r>
  <r>
    <n v="3518"/>
    <x v="272"/>
    <x v="2"/>
    <x v="286"/>
    <x v="0"/>
    <n v="10"/>
    <x v="2"/>
    <x v="1"/>
    <x v="1"/>
    <x v="0"/>
    <n v="20"/>
    <n v="12"/>
    <x v="10"/>
  </r>
  <r>
    <n v="3519"/>
    <x v="273"/>
    <x v="1"/>
    <x v="287"/>
    <x v="1"/>
    <n v="5"/>
    <x v="0"/>
    <x v="1"/>
    <x v="1"/>
    <x v="1"/>
    <n v="0"/>
    <n v="2"/>
    <x v="11"/>
  </r>
  <r>
    <n v="3520"/>
    <x v="274"/>
    <x v="0"/>
    <x v="288"/>
    <x v="0"/>
    <n v="15"/>
    <x v="1"/>
    <x v="0"/>
    <x v="0"/>
    <x v="0"/>
    <n v="20"/>
    <n v="5"/>
    <x v="0"/>
  </r>
  <r>
    <n v="3521"/>
    <x v="275"/>
    <x v="2"/>
    <x v="289"/>
    <x v="1"/>
    <n v="10"/>
    <x v="0"/>
    <x v="1"/>
    <x v="1"/>
    <x v="0"/>
    <n v="20"/>
    <n v="10"/>
    <x v="2"/>
  </r>
  <r>
    <n v="3522"/>
    <x v="276"/>
    <x v="1"/>
    <x v="290"/>
    <x v="0"/>
    <n v="5"/>
    <x v="2"/>
    <x v="1"/>
    <x v="1"/>
    <x v="1"/>
    <n v="0"/>
    <n v="0"/>
    <x v="1"/>
  </r>
  <r>
    <n v="3523"/>
    <x v="277"/>
    <x v="0"/>
    <x v="291"/>
    <x v="1"/>
    <n v="15"/>
    <x v="0"/>
    <x v="0"/>
    <x v="0"/>
    <x v="0"/>
    <n v="20"/>
    <n v="3"/>
    <x v="3"/>
  </r>
  <r>
    <n v="3524"/>
    <x v="278"/>
    <x v="2"/>
    <x v="292"/>
    <x v="0"/>
    <n v="10"/>
    <x v="1"/>
    <x v="1"/>
    <x v="1"/>
    <x v="0"/>
    <n v="20"/>
    <n v="15"/>
    <x v="7"/>
  </r>
  <r>
    <n v="3525"/>
    <x v="279"/>
    <x v="1"/>
    <x v="293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D42A8-C8A6-4054-871D-7DC8EE3635AA}" name="tbl_annual_total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7">
  <location ref="B7:C10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4" baseItem="0" numFmtId="44"/>
  </dataFields>
  <formats count="11">
    <format dxfId="67">
      <pivotArea dataOnly="0" labelOnly="1" outline="0" axis="axisValues" fieldPosition="0"/>
    </format>
    <format dxfId="66">
      <pivotArea outline="0" collapsedLevelsAreSubtotals="1" fieldPosition="0"/>
    </format>
    <format dxfId="65">
      <pivotArea outline="0" fieldPosition="0">
        <references count="1">
          <reference field="4294967294" count="1">
            <x v="0"/>
          </reference>
        </references>
      </pivotArea>
    </format>
    <format dxfId="64">
      <pivotArea outline="0" collapsedLevelsAreSubtotals="1" fieldPosition="0"/>
    </format>
    <format dxfId="63">
      <pivotArea outline="0" collapsedLevelsAreSubtotals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4" type="button" dataOnly="0" labelOnly="1" outline="0" axis="axisRow" fieldPosition="0"/>
    </format>
    <format dxfId="59">
      <pivotArea dataOnly="0" labelOnly="1" fieldPosition="0">
        <references count="1">
          <reference field="4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20FC6-F313-488D-A21A-E1D7B0ABB801}" name="Tabela dinâmica3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7">
  <location ref="B25:C29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4">
    <format dxfId="71">
      <pivotArea dataOnly="0" labelOnly="1" outline="0" axis="axisValues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54B7F-84C0-4F0C-B98A-F5FEC6AD4896}" name="tbl_easeasonpass_total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7">
  <location ref="B16:C20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4">
    <format dxfId="75">
      <pivotArea dataOnly="0" labelOnly="1" outline="0" axis="axisValues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F669BF5-203A-439E-9B7E-ADAE31FD144F}" sourceName="Subscription Type">
  <pivotTables>
    <pivotTable tabId="3" name="tbl_annual_total"/>
    <pivotTable tabId="3" name="tbl_easeasonpass_total"/>
    <pivotTable tabId="3" name="Tabela dinâmica3"/>
  </pivotTables>
  <data>
    <tabular pivotCacheId="11500746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2E7F2A5-F545-417A-ACC9-A1A3CEC8A78C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8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88"/>
    <tableColumn id="2" xr3:uid="{53DD39D0-2220-4121-9E9D-4EAA7E151C0F}" name="Name" dataDxfId="87"/>
    <tableColumn id="3" xr3:uid="{4F5FF271-4C57-4BE0-8F2C-F82C8551625C}" name="Plan" dataDxfId="86"/>
    <tableColumn id="4" xr3:uid="{8C17EB93-79B9-4E55-B8F7-BEB82F8253E9}" name="Start Date" dataDxfId="85"/>
    <tableColumn id="5" xr3:uid="{48CEDF9B-1689-482A-A828-5CCE7713264A}" name="Auto Renewal" dataDxfId="84"/>
    <tableColumn id="6" xr3:uid="{78B82374-9AA7-4E38-AE4F-78CDE6C83720}" name="Subscription Price" dataDxfId="83" dataCellStyle="Moeda"/>
    <tableColumn id="7" xr3:uid="{F2433F68-AF33-49D0-B1FB-19A396074EDE}" name="Subscription Type" dataDxfId="82"/>
    <tableColumn id="8" xr3:uid="{FD4D9C95-F6E5-4933-9068-A71FF7DF9343}" name="EA Play Season Pass" dataDxfId="81"/>
    <tableColumn id="13" xr3:uid="{978DD0D2-834E-4CE4-A39B-30976086932F}" name="EA Play Season Pass_x000a_Price" dataDxfId="80" dataCellStyle="Moeda"/>
    <tableColumn id="9" xr3:uid="{6E29F111-C395-4580-9DAD-3407D9E8B1A4}" name="Minecraft Season Pass" dataDxfId="79"/>
    <tableColumn id="10" xr3:uid="{EF544EAA-7F25-4FD5-A10E-8E62804DB9E3}" name="Minecraft Season Pass Price" dataDxfId="78" dataCellStyle="Moeda"/>
    <tableColumn id="11" xr3:uid="{7F6EB64A-1F07-4E48-9F0F-AC7D9DCD26F8}" name="Coupon Value" dataDxfId="77" dataCellStyle="Moeda"/>
    <tableColumn id="12" xr3:uid="{2B04ABC8-DE6F-426E-ADC0-D8AFC68CA58E}" name="Total Value" dataDxfId="7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F31" sqref="F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7</v>
      </c>
      <c r="E5" s="7" t="s">
        <v>316</v>
      </c>
      <c r="F5" t="s">
        <v>6</v>
      </c>
    </row>
    <row r="6" spans="2:16" x14ac:dyDescent="0.3">
      <c r="B6" s="4" t="s">
        <v>3</v>
      </c>
      <c r="C6" t="s">
        <v>7</v>
      </c>
    </row>
    <row r="7" spans="2:16" x14ac:dyDescent="0.3">
      <c r="B7" s="5" t="s">
        <v>4</v>
      </c>
      <c r="C7" t="s">
        <v>8</v>
      </c>
    </row>
    <row r="8" spans="2:16" x14ac:dyDescent="0.3">
      <c r="B8" s="6" t="s">
        <v>5</v>
      </c>
      <c r="C8" t="s">
        <v>8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Normal="100" workbookViewId="0">
      <selection activeCell="F31" sqref="F3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14" t="s">
        <v>32</v>
      </c>
    </row>
    <row r="2" spans="1:13" ht="16.5" customHeight="1" x14ac:dyDescent="0.3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5">
        <v>60</v>
      </c>
    </row>
    <row r="3" spans="1:13" ht="16.5" hidden="1" customHeight="1" x14ac:dyDescent="0.3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5">
        <v>62</v>
      </c>
    </row>
    <row r="6" spans="1:13" ht="16.5" hidden="1" customHeight="1" x14ac:dyDescent="0.3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5">
        <v>55</v>
      </c>
    </row>
    <row r="9" spans="1:13" ht="16.5" hidden="1" customHeight="1" x14ac:dyDescent="0.3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5">
        <v>60</v>
      </c>
    </row>
    <row r="11" spans="1:13" ht="16.5" hidden="1" customHeight="1" x14ac:dyDescent="0.3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5">
        <v>45</v>
      </c>
    </row>
    <row r="14" spans="1:13" ht="16.5" hidden="1" customHeight="1" x14ac:dyDescent="0.3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5">
        <v>57</v>
      </c>
    </row>
    <row r="17" spans="1:13" ht="16.5" hidden="1" customHeight="1" x14ac:dyDescent="0.3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5">
        <v>58</v>
      </c>
    </row>
    <row r="20" spans="1:13" ht="16.5" hidden="1" customHeight="1" x14ac:dyDescent="0.3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5">
        <v>62</v>
      </c>
    </row>
    <row r="23" spans="1:13" ht="16.5" hidden="1" customHeight="1" x14ac:dyDescent="0.3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5">
        <v>45</v>
      </c>
    </row>
    <row r="26" spans="1:13" ht="16.5" hidden="1" customHeight="1" x14ac:dyDescent="0.3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5">
        <v>60</v>
      </c>
    </row>
    <row r="29" spans="1:13" ht="16.5" hidden="1" customHeight="1" x14ac:dyDescent="0.3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5">
        <v>58</v>
      </c>
    </row>
    <row r="32" spans="1:13" ht="16.5" hidden="1" customHeight="1" x14ac:dyDescent="0.3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5">
        <v>62</v>
      </c>
    </row>
    <row r="35" spans="1:13" ht="16.5" hidden="1" customHeight="1" x14ac:dyDescent="0.3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5">
        <v>58</v>
      </c>
    </row>
    <row r="39" spans="1:13" ht="16.5" hidden="1" customHeight="1" x14ac:dyDescent="0.3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5">
        <v>50</v>
      </c>
    </row>
    <row r="42" spans="1:13" ht="16.5" hidden="1" customHeight="1" x14ac:dyDescent="0.3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5">
        <v>45</v>
      </c>
    </row>
    <row r="45" spans="1:13" ht="16.5" hidden="1" customHeight="1" x14ac:dyDescent="0.3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5">
        <v>60</v>
      </c>
    </row>
    <row r="48" spans="1:13" ht="16.5" hidden="1" customHeight="1" x14ac:dyDescent="0.3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5">
        <v>62</v>
      </c>
    </row>
    <row r="51" spans="1:13" ht="16.5" hidden="1" customHeight="1" x14ac:dyDescent="0.3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5">
        <v>58</v>
      </c>
    </row>
    <row r="54" spans="1:13" ht="16.5" hidden="1" customHeight="1" x14ac:dyDescent="0.3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5">
        <v>45</v>
      </c>
    </row>
    <row r="57" spans="1:13" ht="16.5" hidden="1" customHeight="1" x14ac:dyDescent="0.3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5">
        <v>62</v>
      </c>
    </row>
    <row r="60" spans="1:13" ht="16.5" hidden="1" customHeight="1" x14ac:dyDescent="0.3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5">
        <v>60</v>
      </c>
    </row>
    <row r="63" spans="1:13" ht="16.5" hidden="1" customHeight="1" x14ac:dyDescent="0.3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5">
        <v>45</v>
      </c>
    </row>
    <row r="66" spans="1:13" ht="16.5" hidden="1" customHeight="1" x14ac:dyDescent="0.3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5">
        <v>58</v>
      </c>
    </row>
    <row r="69" spans="1:13" ht="16.5" hidden="1" customHeight="1" x14ac:dyDescent="0.3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5">
        <v>50</v>
      </c>
    </row>
    <row r="72" spans="1:13" ht="16.5" hidden="1" customHeight="1" x14ac:dyDescent="0.3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5">
        <v>45</v>
      </c>
    </row>
    <row r="75" spans="1:13" ht="16.5" hidden="1" customHeight="1" x14ac:dyDescent="0.3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5">
        <v>60</v>
      </c>
    </row>
    <row r="78" spans="1:13" ht="16.5" hidden="1" customHeight="1" x14ac:dyDescent="0.3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5">
        <v>62</v>
      </c>
    </row>
    <row r="81" spans="1:13" ht="16.5" hidden="1" customHeight="1" x14ac:dyDescent="0.3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5">
        <v>58</v>
      </c>
    </row>
    <row r="84" spans="1:13" ht="16.5" hidden="1" customHeight="1" x14ac:dyDescent="0.3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5">
        <v>45</v>
      </c>
    </row>
    <row r="87" spans="1:13" ht="16.5" hidden="1" customHeight="1" x14ac:dyDescent="0.3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5">
        <v>62</v>
      </c>
    </row>
    <row r="90" spans="1:13" ht="16.5" hidden="1" customHeight="1" x14ac:dyDescent="0.3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5">
        <v>60</v>
      </c>
    </row>
    <row r="93" spans="1:13" ht="16.5" hidden="1" customHeight="1" x14ac:dyDescent="0.3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5">
        <v>45</v>
      </c>
    </row>
    <row r="96" spans="1:13" ht="16.5" hidden="1" customHeight="1" x14ac:dyDescent="0.3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5">
        <v>58</v>
      </c>
    </row>
    <row r="99" spans="1:13" ht="16.5" hidden="1" customHeight="1" x14ac:dyDescent="0.3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5">
        <v>50</v>
      </c>
    </row>
    <row r="102" spans="1:13" ht="16.5" hidden="1" customHeight="1" x14ac:dyDescent="0.3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5">
        <v>45</v>
      </c>
    </row>
    <row r="105" spans="1:13" ht="16.5" hidden="1" customHeight="1" x14ac:dyDescent="0.3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5">
        <v>58</v>
      </c>
    </row>
    <row r="109" spans="1:13" ht="16.5" hidden="1" customHeight="1" x14ac:dyDescent="0.3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5">
        <v>50</v>
      </c>
    </row>
    <row r="112" spans="1:13" ht="16.5" hidden="1" customHeight="1" x14ac:dyDescent="0.3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5">
        <v>45</v>
      </c>
    </row>
    <row r="115" spans="1:13" ht="16.5" hidden="1" customHeight="1" x14ac:dyDescent="0.3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5">
        <v>60</v>
      </c>
    </row>
    <row r="118" spans="1:13" ht="16.5" hidden="1" customHeight="1" x14ac:dyDescent="0.3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5">
        <v>62</v>
      </c>
    </row>
    <row r="121" spans="1:13" ht="16.5" hidden="1" customHeight="1" x14ac:dyDescent="0.3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5">
        <v>58</v>
      </c>
    </row>
    <row r="124" spans="1:13" ht="16.5" hidden="1" customHeight="1" x14ac:dyDescent="0.3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5">
        <v>45</v>
      </c>
    </row>
    <row r="127" spans="1:13" ht="16.5" hidden="1" customHeight="1" x14ac:dyDescent="0.3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5">
        <v>62</v>
      </c>
    </row>
    <row r="130" spans="1:13" ht="16.5" hidden="1" customHeight="1" x14ac:dyDescent="0.3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5">
        <v>50</v>
      </c>
    </row>
    <row r="133" spans="1:13" ht="16.5" hidden="1" customHeight="1" x14ac:dyDescent="0.3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5">
        <v>58</v>
      </c>
    </row>
    <row r="136" spans="1:13" ht="16.5" hidden="1" customHeight="1" x14ac:dyDescent="0.3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5">
        <v>58</v>
      </c>
    </row>
    <row r="139" spans="1:13" ht="16.5" hidden="1" customHeight="1" x14ac:dyDescent="0.3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5">
        <v>50</v>
      </c>
    </row>
    <row r="142" spans="1:13" ht="16.5" hidden="1" customHeight="1" x14ac:dyDescent="0.3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5">
        <v>45</v>
      </c>
    </row>
    <row r="145" spans="1:13" ht="16.5" hidden="1" customHeight="1" x14ac:dyDescent="0.3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5">
        <v>60</v>
      </c>
    </row>
    <row r="148" spans="1:13" ht="16.5" hidden="1" customHeight="1" x14ac:dyDescent="0.3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5">
        <v>62</v>
      </c>
    </row>
    <row r="151" spans="1:13" ht="16.5" hidden="1" customHeight="1" x14ac:dyDescent="0.3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5">
        <v>58</v>
      </c>
    </row>
    <row r="154" spans="1:13" ht="16.5" hidden="1" customHeight="1" x14ac:dyDescent="0.3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5">
        <v>45</v>
      </c>
    </row>
    <row r="157" spans="1:13" ht="16.5" hidden="1" customHeight="1" x14ac:dyDescent="0.3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5">
        <v>62</v>
      </c>
    </row>
    <row r="160" spans="1:13" ht="16.5" hidden="1" customHeight="1" x14ac:dyDescent="0.3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5">
        <v>50</v>
      </c>
    </row>
    <row r="163" spans="1:13" ht="16.5" hidden="1" customHeight="1" x14ac:dyDescent="0.3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5">
        <v>58</v>
      </c>
    </row>
    <row r="166" spans="1:13" ht="16.5" hidden="1" customHeight="1" x14ac:dyDescent="0.3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5">
        <v>45</v>
      </c>
    </row>
    <row r="169" spans="1:13" ht="16.5" hidden="1" customHeight="1" x14ac:dyDescent="0.3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5">
        <v>60</v>
      </c>
    </row>
    <row r="172" spans="1:13" ht="16.5" hidden="1" customHeight="1" x14ac:dyDescent="0.3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5">
        <v>62</v>
      </c>
    </row>
    <row r="175" spans="1:13" ht="16.5" hidden="1" customHeight="1" x14ac:dyDescent="0.3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5">
        <v>58</v>
      </c>
    </row>
    <row r="179" spans="1:13" ht="16.5" hidden="1" customHeight="1" x14ac:dyDescent="0.3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5">
        <v>50</v>
      </c>
    </row>
    <row r="182" spans="1:13" ht="16.5" hidden="1" customHeight="1" x14ac:dyDescent="0.3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5">
        <v>45</v>
      </c>
    </row>
    <row r="185" spans="1:13" ht="16.5" hidden="1" customHeight="1" x14ac:dyDescent="0.3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5">
        <v>60</v>
      </c>
    </row>
    <row r="188" spans="1:13" ht="16.5" hidden="1" customHeight="1" x14ac:dyDescent="0.3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5">
        <v>62</v>
      </c>
    </row>
    <row r="191" spans="1:13" ht="16.5" hidden="1" customHeight="1" x14ac:dyDescent="0.3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5">
        <v>58</v>
      </c>
    </row>
    <row r="194" spans="1:13" ht="16.5" hidden="1" customHeight="1" x14ac:dyDescent="0.3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5">
        <v>45</v>
      </c>
    </row>
    <row r="197" spans="1:13" ht="16.5" hidden="1" customHeight="1" x14ac:dyDescent="0.3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5">
        <v>62</v>
      </c>
    </row>
    <row r="200" spans="1:13" ht="16.5" hidden="1" customHeight="1" x14ac:dyDescent="0.3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5">
        <v>50</v>
      </c>
    </row>
    <row r="203" spans="1:13" ht="16.5" hidden="1" customHeight="1" x14ac:dyDescent="0.3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5">
        <v>58</v>
      </c>
    </row>
    <row r="206" spans="1:13" ht="16.5" hidden="1" customHeight="1" x14ac:dyDescent="0.3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5">
        <v>58</v>
      </c>
    </row>
    <row r="209" spans="1:13" ht="16.5" hidden="1" customHeight="1" x14ac:dyDescent="0.3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5">
        <v>50</v>
      </c>
    </row>
    <row r="212" spans="1:13" ht="16.5" hidden="1" customHeight="1" x14ac:dyDescent="0.3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5">
        <v>45</v>
      </c>
    </row>
    <row r="215" spans="1:13" ht="16.5" hidden="1" customHeight="1" x14ac:dyDescent="0.3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5">
        <v>60</v>
      </c>
    </row>
    <row r="218" spans="1:13" ht="16.5" hidden="1" customHeight="1" x14ac:dyDescent="0.3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5">
        <v>62</v>
      </c>
    </row>
    <row r="221" spans="1:13" ht="16.5" hidden="1" customHeight="1" x14ac:dyDescent="0.3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5">
        <v>58</v>
      </c>
    </row>
    <row r="224" spans="1:13" ht="16.5" hidden="1" customHeight="1" x14ac:dyDescent="0.3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5">
        <v>45</v>
      </c>
    </row>
    <row r="227" spans="1:13" ht="16.5" hidden="1" customHeight="1" x14ac:dyDescent="0.3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5">
        <v>62</v>
      </c>
    </row>
    <row r="230" spans="1:13" ht="16.5" hidden="1" customHeight="1" x14ac:dyDescent="0.3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5">
        <v>50</v>
      </c>
    </row>
    <row r="233" spans="1:13" ht="16.5" hidden="1" customHeight="1" x14ac:dyDescent="0.3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5">
        <v>58</v>
      </c>
    </row>
    <row r="236" spans="1:13" ht="16.5" hidden="1" customHeight="1" x14ac:dyDescent="0.3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5">
        <v>50</v>
      </c>
    </row>
    <row r="239" spans="1:13" ht="16.5" hidden="1" customHeight="1" x14ac:dyDescent="0.3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5">
        <v>60</v>
      </c>
    </row>
    <row r="242" spans="1:13" ht="16.5" hidden="1" customHeight="1" x14ac:dyDescent="0.3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5">
        <v>62</v>
      </c>
    </row>
    <row r="245" spans="1:13" ht="16.5" hidden="1" customHeight="1" x14ac:dyDescent="0.3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5">
        <v>58</v>
      </c>
    </row>
    <row r="248" spans="1:13" ht="16.5" hidden="1" customHeight="1" x14ac:dyDescent="0.3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5">
        <v>45</v>
      </c>
    </row>
    <row r="251" spans="1:13" ht="16.5" hidden="1" customHeight="1" x14ac:dyDescent="0.3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5">
        <v>62</v>
      </c>
    </row>
    <row r="254" spans="1:13" ht="16.5" hidden="1" customHeight="1" x14ac:dyDescent="0.3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5">
        <v>50</v>
      </c>
    </row>
    <row r="257" spans="1:13" ht="16.5" hidden="1" customHeight="1" x14ac:dyDescent="0.3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5">
        <v>58</v>
      </c>
    </row>
    <row r="259" spans="1:13" ht="16.5" hidden="1" customHeight="1" x14ac:dyDescent="0.3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5">
        <v>50</v>
      </c>
    </row>
    <row r="262" spans="1:13" ht="16.5" hidden="1" customHeight="1" x14ac:dyDescent="0.3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5">
        <v>45</v>
      </c>
    </row>
    <row r="265" spans="1:13" ht="16.5" hidden="1" customHeight="1" x14ac:dyDescent="0.3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5">
        <v>60</v>
      </c>
    </row>
    <row r="268" spans="1:13" ht="16.5" hidden="1" customHeight="1" x14ac:dyDescent="0.3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5">
        <v>62</v>
      </c>
    </row>
    <row r="271" spans="1:13" ht="16.5" hidden="1" customHeight="1" x14ac:dyDescent="0.3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5">
        <v>58</v>
      </c>
    </row>
    <row r="274" spans="1:13" ht="16.5" hidden="1" customHeight="1" x14ac:dyDescent="0.3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5">
        <v>45</v>
      </c>
    </row>
    <row r="277" spans="1:13" ht="16.5" hidden="1" customHeight="1" x14ac:dyDescent="0.3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5">
        <v>62</v>
      </c>
    </row>
    <row r="280" spans="1:13" ht="16.5" hidden="1" customHeight="1" x14ac:dyDescent="0.3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5">
        <v>50</v>
      </c>
    </row>
    <row r="283" spans="1:13" ht="16.5" hidden="1" customHeight="1" x14ac:dyDescent="0.3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5">
        <v>58</v>
      </c>
    </row>
    <row r="286" spans="1:13" ht="16.5" hidden="1" customHeight="1" x14ac:dyDescent="0.3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5">
        <v>45</v>
      </c>
    </row>
    <row r="289" spans="1:13" ht="16.5" hidden="1" customHeight="1" x14ac:dyDescent="0.3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5">
        <v>60</v>
      </c>
    </row>
    <row r="292" spans="1:13" ht="16.5" hidden="1" customHeight="1" x14ac:dyDescent="0.3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5">
        <v>62</v>
      </c>
    </row>
    <row r="295" spans="1:13" ht="16.5" hidden="1" customHeight="1" x14ac:dyDescent="0.3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D29"/>
  <sheetViews>
    <sheetView showGridLines="0" workbookViewId="0">
      <selection activeCell="F31" sqref="F31"/>
    </sheetView>
  </sheetViews>
  <sheetFormatPr defaultRowHeight="14.4" x14ac:dyDescent="0.3"/>
  <cols>
    <col min="1" max="2" width="16.77734375" bestFit="1" customWidth="1"/>
    <col min="3" max="3" width="33.6640625" bestFit="1" customWidth="1"/>
    <col min="4" max="7" width="10.33203125" customWidth="1"/>
    <col min="8" max="295" width="10.33203125" bestFit="1" customWidth="1"/>
    <col min="296" max="296" width="17.88671875" bestFit="1" customWidth="1"/>
    <col min="297" max="589" width="10.33203125" bestFit="1" customWidth="1"/>
    <col min="590" max="590" width="20.109375" bestFit="1" customWidth="1"/>
    <col min="591" max="883" width="10.33203125" bestFit="1" customWidth="1"/>
    <col min="884" max="884" width="32.21875" bestFit="1" customWidth="1"/>
    <col min="885" max="1177" width="10.33203125" bestFit="1" customWidth="1"/>
    <col min="1178" max="1178" width="24.21875" bestFit="1" customWidth="1"/>
    <col min="1179" max="1471" width="10.33203125" bestFit="1" customWidth="1"/>
    <col min="1472" max="1472" width="24.5546875" bestFit="1" customWidth="1"/>
    <col min="1473" max="1473" width="22.44140625" bestFit="1" customWidth="1"/>
    <col min="1474" max="1474" width="24.6640625" bestFit="1" customWidth="1"/>
    <col min="1475" max="1475" width="36.77734375" bestFit="1" customWidth="1"/>
    <col min="1476" max="1476" width="28.77734375" bestFit="1" customWidth="1"/>
  </cols>
  <sheetData>
    <row r="4" spans="2:3" x14ac:dyDescent="0.3">
      <c r="B4" s="35" t="s">
        <v>320</v>
      </c>
      <c r="C4" s="36"/>
    </row>
    <row r="5" spans="2:3" x14ac:dyDescent="0.3">
      <c r="B5" s="26" t="s">
        <v>15</v>
      </c>
      <c r="C5" s="27" t="s">
        <v>23</v>
      </c>
    </row>
    <row r="6" spans="2:3" x14ac:dyDescent="0.3">
      <c r="B6" s="25"/>
      <c r="C6" s="24"/>
    </row>
    <row r="7" spans="2:3" x14ac:dyDescent="0.3">
      <c r="B7" s="30" t="s">
        <v>312</v>
      </c>
      <c r="C7" s="33" t="s">
        <v>314</v>
      </c>
    </row>
    <row r="8" spans="2:3" x14ac:dyDescent="0.3">
      <c r="B8" s="31" t="s">
        <v>22</v>
      </c>
      <c r="C8" s="28">
        <v>217</v>
      </c>
    </row>
    <row r="9" spans="2:3" x14ac:dyDescent="0.3">
      <c r="B9" s="32" t="s">
        <v>18</v>
      </c>
      <c r="C9" s="28">
        <v>1537</v>
      </c>
    </row>
    <row r="10" spans="2:3" x14ac:dyDescent="0.3">
      <c r="B10" s="32" t="s">
        <v>313</v>
      </c>
      <c r="C10" s="29">
        <v>1754</v>
      </c>
    </row>
    <row r="13" spans="2:3" x14ac:dyDescent="0.3">
      <c r="B13" s="35" t="s">
        <v>319</v>
      </c>
      <c r="C13" s="36"/>
    </row>
    <row r="14" spans="2:3" x14ac:dyDescent="0.3">
      <c r="B14" s="12" t="s">
        <v>15</v>
      </c>
      <c r="C14" t="s">
        <v>23</v>
      </c>
    </row>
    <row r="16" spans="2:3" x14ac:dyDescent="0.3">
      <c r="B16" s="12" t="s">
        <v>312</v>
      </c>
      <c r="C16" s="16" t="s">
        <v>318</v>
      </c>
    </row>
    <row r="17" spans="2:4" x14ac:dyDescent="0.3">
      <c r="B17" s="13" t="s">
        <v>21</v>
      </c>
      <c r="C17" s="18">
        <v>0</v>
      </c>
    </row>
    <row r="18" spans="2:4" x14ac:dyDescent="0.3">
      <c r="B18" s="13" t="s">
        <v>25</v>
      </c>
      <c r="C18" s="18">
        <v>0</v>
      </c>
    </row>
    <row r="19" spans="2:4" x14ac:dyDescent="0.3">
      <c r="B19" s="13" t="s">
        <v>17</v>
      </c>
      <c r="C19" s="18">
        <v>600</v>
      </c>
    </row>
    <row r="20" spans="2:4" x14ac:dyDescent="0.3">
      <c r="B20" s="13" t="s">
        <v>313</v>
      </c>
      <c r="C20" s="18">
        <v>600</v>
      </c>
      <c r="D20" s="22">
        <f>GETPIVOTDATA("EA Play Season Pass
Price",$B$16)</f>
        <v>600</v>
      </c>
    </row>
    <row r="22" spans="2:4" x14ac:dyDescent="0.3">
      <c r="B22" s="37" t="s">
        <v>321</v>
      </c>
      <c r="C22" s="38"/>
    </row>
    <row r="23" spans="2:4" x14ac:dyDescent="0.3">
      <c r="B23" s="12" t="s">
        <v>15</v>
      </c>
      <c r="C23" t="s">
        <v>23</v>
      </c>
    </row>
    <row r="25" spans="2:4" x14ac:dyDescent="0.3">
      <c r="B25" s="12" t="s">
        <v>312</v>
      </c>
      <c r="C25" s="16" t="s">
        <v>315</v>
      </c>
    </row>
    <row r="26" spans="2:4" x14ac:dyDescent="0.3">
      <c r="B26" s="13" t="s">
        <v>21</v>
      </c>
      <c r="C26" s="18">
        <v>0</v>
      </c>
    </row>
    <row r="27" spans="2:4" x14ac:dyDescent="0.3">
      <c r="B27" s="13" t="s">
        <v>25</v>
      </c>
      <c r="C27" s="18">
        <v>540</v>
      </c>
    </row>
    <row r="28" spans="2:4" x14ac:dyDescent="0.3">
      <c r="B28" s="13" t="s">
        <v>17</v>
      </c>
      <c r="C28" s="18">
        <v>400</v>
      </c>
    </row>
    <row r="29" spans="2:4" x14ac:dyDescent="0.3">
      <c r="B29" s="13" t="s">
        <v>313</v>
      </c>
      <c r="C29" s="18">
        <v>940</v>
      </c>
      <c r="D29" s="17">
        <f>GETPIVOTDATA("Minecraft Season Pass Price",$B$25)</f>
        <v>940</v>
      </c>
    </row>
  </sheetData>
  <mergeCells count="3">
    <mergeCell ref="B4:C4"/>
    <mergeCell ref="B13:C13"/>
    <mergeCell ref="B22:C2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theme="9" tint="0.59999389629810485"/>
  </sheetPr>
  <dimension ref="A1:Z301"/>
  <sheetViews>
    <sheetView showGridLines="0" showRowColHeaders="0" tabSelected="1" zoomScale="80" zoomScaleNormal="80" workbookViewId="0">
      <selection activeCell="K5" sqref="K5"/>
    </sheetView>
  </sheetViews>
  <sheetFormatPr defaultRowHeight="14.4" x14ac:dyDescent="0.3"/>
  <cols>
    <col min="1" max="1" width="29.21875" style="4" customWidth="1"/>
    <col min="2" max="2" width="3.5546875" customWidth="1"/>
    <col min="12" max="12" width="6.5546875" customWidth="1"/>
    <col min="26" max="26" width="6.6640625" customWidth="1"/>
  </cols>
  <sheetData>
    <row r="1" spans="1:26" ht="14.4" customHeight="1" x14ac:dyDescent="0.3">
      <c r="C1" s="20"/>
    </row>
    <row r="2" spans="1:26" ht="24" customHeight="1" thickBot="1" x14ac:dyDescent="0.7">
      <c r="C2" s="23" t="s">
        <v>317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4.4" customHeight="1" thickTop="1" x14ac:dyDescent="0.3"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26" s="7" customFormat="1" ht="8.25" customHeight="1" x14ac:dyDescent="0.3">
      <c r="A4" s="4"/>
      <c r="C4" s="19"/>
    </row>
    <row r="5" spans="1:26" s="7" customFormat="1" ht="7.5" customHeight="1" x14ac:dyDescent="0.3">
      <c r="A5" s="4"/>
    </row>
    <row r="6" spans="1:26" s="7" customFormat="1" ht="10.5" customHeight="1" x14ac:dyDescent="0.3">
      <c r="A6" s="4"/>
    </row>
    <row r="7" spans="1:26" s="7" customFormat="1" x14ac:dyDescent="0.3">
      <c r="A7" s="4"/>
    </row>
    <row r="8" spans="1:26" s="7" customFormat="1" x14ac:dyDescent="0.3">
      <c r="A8" s="4"/>
    </row>
    <row r="9" spans="1:26" s="7" customFormat="1" x14ac:dyDescent="0.3">
      <c r="A9" s="4"/>
    </row>
    <row r="10" spans="1:26" s="7" customFormat="1" x14ac:dyDescent="0.3">
      <c r="A10" s="4"/>
    </row>
    <row r="11" spans="1:26" s="7" customFormat="1" x14ac:dyDescent="0.3">
      <c r="A11" s="4"/>
    </row>
    <row r="12" spans="1:26" s="7" customFormat="1" x14ac:dyDescent="0.3">
      <c r="A12" s="4"/>
    </row>
    <row r="13" spans="1:26" s="7" customFormat="1" x14ac:dyDescent="0.3">
      <c r="A13" s="4"/>
    </row>
    <row r="14" spans="1:26" s="7" customFormat="1" x14ac:dyDescent="0.3">
      <c r="A14" s="4"/>
    </row>
    <row r="15" spans="1:26" s="7" customFormat="1" x14ac:dyDescent="0.3">
      <c r="A15" s="4"/>
    </row>
    <row r="16" spans="1:26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  <row r="138" spans="1:1" s="7" customFormat="1" x14ac:dyDescent="0.3">
      <c r="A138" s="4"/>
    </row>
    <row r="139" spans="1:1" s="7" customFormat="1" x14ac:dyDescent="0.3">
      <c r="A139" s="4"/>
    </row>
    <row r="140" spans="1:1" s="7" customFormat="1" x14ac:dyDescent="0.3">
      <c r="A140" s="4"/>
    </row>
    <row r="141" spans="1:1" s="7" customFormat="1" x14ac:dyDescent="0.3">
      <c r="A141" s="4"/>
    </row>
    <row r="142" spans="1:1" s="7" customFormat="1" x14ac:dyDescent="0.3">
      <c r="A142" s="4"/>
    </row>
    <row r="143" spans="1:1" s="7" customFormat="1" x14ac:dyDescent="0.3">
      <c r="A143" s="4"/>
    </row>
    <row r="144" spans="1:1" s="7" customFormat="1" x14ac:dyDescent="0.3">
      <c r="A144" s="4"/>
    </row>
    <row r="145" spans="1:1" s="7" customFormat="1" x14ac:dyDescent="0.3">
      <c r="A145" s="4"/>
    </row>
    <row r="146" spans="1:1" s="7" customFormat="1" x14ac:dyDescent="0.3">
      <c r="A146" s="4"/>
    </row>
    <row r="147" spans="1:1" s="7" customFormat="1" x14ac:dyDescent="0.3">
      <c r="A147" s="4"/>
    </row>
    <row r="148" spans="1:1" s="7" customFormat="1" x14ac:dyDescent="0.3">
      <c r="A148" s="4"/>
    </row>
    <row r="149" spans="1:1" s="7" customFormat="1" x14ac:dyDescent="0.3">
      <c r="A149" s="4"/>
    </row>
    <row r="150" spans="1:1" s="7" customFormat="1" x14ac:dyDescent="0.3">
      <c r="A150" s="4"/>
    </row>
    <row r="151" spans="1:1" s="7" customFormat="1" x14ac:dyDescent="0.3">
      <c r="A151" s="4"/>
    </row>
    <row r="152" spans="1:1" s="7" customFormat="1" x14ac:dyDescent="0.3">
      <c r="A152" s="4"/>
    </row>
    <row r="153" spans="1:1" s="7" customFormat="1" x14ac:dyDescent="0.3">
      <c r="A153" s="4"/>
    </row>
    <row r="154" spans="1:1" s="7" customFormat="1" x14ac:dyDescent="0.3">
      <c r="A154" s="4"/>
    </row>
    <row r="155" spans="1:1" s="7" customFormat="1" x14ac:dyDescent="0.3">
      <c r="A155" s="4"/>
    </row>
    <row r="156" spans="1:1" s="7" customFormat="1" x14ac:dyDescent="0.3">
      <c r="A156" s="4"/>
    </row>
    <row r="157" spans="1:1" s="7" customFormat="1" x14ac:dyDescent="0.3">
      <c r="A157" s="4"/>
    </row>
    <row r="158" spans="1:1" s="7" customFormat="1" x14ac:dyDescent="0.3">
      <c r="A158" s="4"/>
    </row>
    <row r="159" spans="1:1" s="7" customFormat="1" x14ac:dyDescent="0.3">
      <c r="A159" s="4"/>
    </row>
    <row r="160" spans="1:1" s="7" customFormat="1" x14ac:dyDescent="0.3">
      <c r="A160" s="4"/>
    </row>
    <row r="161" spans="1:1" s="7" customFormat="1" x14ac:dyDescent="0.3">
      <c r="A161" s="4"/>
    </row>
    <row r="162" spans="1:1" s="7" customFormat="1" x14ac:dyDescent="0.3">
      <c r="A162" s="4"/>
    </row>
    <row r="163" spans="1:1" s="7" customFormat="1" x14ac:dyDescent="0.3">
      <c r="A163" s="4"/>
    </row>
    <row r="164" spans="1:1" s="7" customFormat="1" x14ac:dyDescent="0.3">
      <c r="A164" s="4"/>
    </row>
    <row r="165" spans="1:1" s="7" customFormat="1" x14ac:dyDescent="0.3">
      <c r="A165" s="4"/>
    </row>
    <row r="166" spans="1:1" s="7" customFormat="1" x14ac:dyDescent="0.3">
      <c r="A166" s="4"/>
    </row>
    <row r="167" spans="1:1" s="7" customFormat="1" x14ac:dyDescent="0.3">
      <c r="A167" s="4"/>
    </row>
    <row r="168" spans="1:1" s="7" customFormat="1" x14ac:dyDescent="0.3">
      <c r="A168" s="4"/>
    </row>
    <row r="169" spans="1:1" s="7" customFormat="1" x14ac:dyDescent="0.3">
      <c r="A169" s="4"/>
    </row>
    <row r="170" spans="1:1" s="7" customFormat="1" x14ac:dyDescent="0.3">
      <c r="A170" s="4"/>
    </row>
    <row r="171" spans="1:1" s="7" customFormat="1" x14ac:dyDescent="0.3">
      <c r="A171" s="4"/>
    </row>
    <row r="172" spans="1:1" s="7" customFormat="1" x14ac:dyDescent="0.3">
      <c r="A172" s="4"/>
    </row>
    <row r="173" spans="1:1" s="7" customFormat="1" x14ac:dyDescent="0.3">
      <c r="A173" s="4"/>
    </row>
    <row r="174" spans="1:1" s="7" customFormat="1" x14ac:dyDescent="0.3">
      <c r="A174" s="4"/>
    </row>
    <row r="175" spans="1:1" s="7" customFormat="1" x14ac:dyDescent="0.3">
      <c r="A175" s="4"/>
    </row>
    <row r="176" spans="1:1" s="7" customFormat="1" x14ac:dyDescent="0.3">
      <c r="A176" s="4"/>
    </row>
    <row r="177" spans="1:1" s="7" customFormat="1" x14ac:dyDescent="0.3">
      <c r="A177" s="4"/>
    </row>
    <row r="178" spans="1:1" s="7" customFormat="1" x14ac:dyDescent="0.3">
      <c r="A178" s="4"/>
    </row>
    <row r="179" spans="1:1" s="7" customFormat="1" x14ac:dyDescent="0.3">
      <c r="A179" s="4"/>
    </row>
    <row r="180" spans="1:1" s="7" customFormat="1" x14ac:dyDescent="0.3">
      <c r="A180" s="4"/>
    </row>
    <row r="181" spans="1:1" s="7" customFormat="1" x14ac:dyDescent="0.3">
      <c r="A181" s="4"/>
    </row>
    <row r="182" spans="1:1" s="7" customFormat="1" x14ac:dyDescent="0.3">
      <c r="A182" s="4"/>
    </row>
    <row r="183" spans="1:1" s="7" customFormat="1" x14ac:dyDescent="0.3">
      <c r="A183" s="4"/>
    </row>
    <row r="184" spans="1:1" s="7" customFormat="1" x14ac:dyDescent="0.3">
      <c r="A184" s="4"/>
    </row>
    <row r="185" spans="1:1" s="7" customFormat="1" x14ac:dyDescent="0.3">
      <c r="A185" s="4"/>
    </row>
    <row r="186" spans="1:1" s="7" customFormat="1" x14ac:dyDescent="0.3">
      <c r="A186" s="4"/>
    </row>
    <row r="187" spans="1:1" s="7" customFormat="1" x14ac:dyDescent="0.3">
      <c r="A187" s="4"/>
    </row>
    <row r="188" spans="1:1" s="7" customFormat="1" x14ac:dyDescent="0.3">
      <c r="A188" s="4"/>
    </row>
    <row r="189" spans="1:1" s="7" customFormat="1" x14ac:dyDescent="0.3">
      <c r="A189" s="4"/>
    </row>
    <row r="190" spans="1:1" s="7" customFormat="1" x14ac:dyDescent="0.3">
      <c r="A190" s="4"/>
    </row>
    <row r="191" spans="1:1" s="7" customFormat="1" x14ac:dyDescent="0.3">
      <c r="A191" s="4"/>
    </row>
    <row r="192" spans="1:1" s="7" customFormat="1" x14ac:dyDescent="0.3">
      <c r="A192" s="4"/>
    </row>
    <row r="193" spans="1:1" s="7" customFormat="1" x14ac:dyDescent="0.3">
      <c r="A193" s="4"/>
    </row>
    <row r="194" spans="1:1" s="7" customFormat="1" x14ac:dyDescent="0.3">
      <c r="A194" s="4"/>
    </row>
    <row r="195" spans="1:1" s="7" customFormat="1" x14ac:dyDescent="0.3">
      <c r="A195" s="4"/>
    </row>
    <row r="196" spans="1:1" s="7" customFormat="1" x14ac:dyDescent="0.3">
      <c r="A196" s="4"/>
    </row>
    <row r="197" spans="1:1" s="7" customFormat="1" x14ac:dyDescent="0.3">
      <c r="A197" s="4"/>
    </row>
    <row r="198" spans="1:1" s="7" customFormat="1" x14ac:dyDescent="0.3">
      <c r="A198" s="4"/>
    </row>
    <row r="199" spans="1:1" s="7" customFormat="1" x14ac:dyDescent="0.3">
      <c r="A199" s="4"/>
    </row>
    <row r="200" spans="1:1" s="7" customFormat="1" x14ac:dyDescent="0.3">
      <c r="A200" s="4"/>
    </row>
    <row r="201" spans="1:1" s="7" customFormat="1" x14ac:dyDescent="0.3">
      <c r="A201" s="4"/>
    </row>
    <row r="202" spans="1:1" s="7" customFormat="1" x14ac:dyDescent="0.3">
      <c r="A202" s="4"/>
    </row>
    <row r="203" spans="1:1" s="7" customFormat="1" x14ac:dyDescent="0.3">
      <c r="A203" s="4"/>
    </row>
    <row r="204" spans="1:1" s="7" customFormat="1" x14ac:dyDescent="0.3">
      <c r="A204" s="4"/>
    </row>
    <row r="205" spans="1:1" s="7" customFormat="1" x14ac:dyDescent="0.3">
      <c r="A205" s="4"/>
    </row>
    <row r="206" spans="1:1" s="7" customFormat="1" x14ac:dyDescent="0.3">
      <c r="A206" s="4"/>
    </row>
    <row r="207" spans="1:1" s="7" customFormat="1" x14ac:dyDescent="0.3">
      <c r="A207" s="4"/>
    </row>
    <row r="208" spans="1:1" s="7" customFormat="1" x14ac:dyDescent="0.3">
      <c r="A208" s="4"/>
    </row>
    <row r="209" spans="1:1" s="7" customFormat="1" x14ac:dyDescent="0.3">
      <c r="A209" s="4"/>
    </row>
    <row r="210" spans="1:1" s="7" customFormat="1" x14ac:dyDescent="0.3">
      <c r="A210" s="4"/>
    </row>
    <row r="211" spans="1:1" s="7" customFormat="1" x14ac:dyDescent="0.3">
      <c r="A211" s="4"/>
    </row>
    <row r="212" spans="1:1" s="7" customFormat="1" x14ac:dyDescent="0.3">
      <c r="A212" s="4"/>
    </row>
    <row r="213" spans="1:1" s="7" customFormat="1" x14ac:dyDescent="0.3">
      <c r="A213" s="4"/>
    </row>
    <row r="214" spans="1:1" s="7" customFormat="1" x14ac:dyDescent="0.3">
      <c r="A214" s="4"/>
    </row>
    <row r="215" spans="1:1" s="7" customFormat="1" x14ac:dyDescent="0.3">
      <c r="A215" s="4"/>
    </row>
    <row r="216" spans="1:1" s="7" customFormat="1" x14ac:dyDescent="0.3">
      <c r="A216" s="4"/>
    </row>
    <row r="217" spans="1:1" s="7" customFormat="1" x14ac:dyDescent="0.3">
      <c r="A217" s="4"/>
    </row>
    <row r="218" spans="1:1" s="7" customFormat="1" x14ac:dyDescent="0.3">
      <c r="A218" s="4"/>
    </row>
    <row r="219" spans="1:1" s="7" customFormat="1" x14ac:dyDescent="0.3">
      <c r="A219" s="4"/>
    </row>
    <row r="220" spans="1:1" s="7" customFormat="1" x14ac:dyDescent="0.3">
      <c r="A220" s="4"/>
    </row>
    <row r="221" spans="1:1" s="7" customFormat="1" x14ac:dyDescent="0.3">
      <c r="A221" s="4"/>
    </row>
    <row r="222" spans="1:1" s="7" customFormat="1" x14ac:dyDescent="0.3">
      <c r="A222" s="4"/>
    </row>
    <row r="223" spans="1:1" s="7" customFormat="1" x14ac:dyDescent="0.3">
      <c r="A223" s="4"/>
    </row>
    <row r="224" spans="1:1" s="7" customFormat="1" x14ac:dyDescent="0.3">
      <c r="A224" s="4"/>
    </row>
    <row r="225" spans="1:1" s="7" customFormat="1" x14ac:dyDescent="0.3">
      <c r="A225" s="4"/>
    </row>
    <row r="226" spans="1:1" s="7" customFormat="1" x14ac:dyDescent="0.3">
      <c r="A226" s="4"/>
    </row>
    <row r="227" spans="1:1" s="7" customFormat="1" x14ac:dyDescent="0.3">
      <c r="A227" s="4"/>
    </row>
    <row r="228" spans="1:1" s="7" customFormat="1" x14ac:dyDescent="0.3">
      <c r="A228" s="4"/>
    </row>
    <row r="229" spans="1:1" s="7" customFormat="1" x14ac:dyDescent="0.3">
      <c r="A229" s="4"/>
    </row>
    <row r="230" spans="1:1" s="7" customFormat="1" x14ac:dyDescent="0.3">
      <c r="A230" s="4"/>
    </row>
    <row r="231" spans="1:1" s="7" customFormat="1" x14ac:dyDescent="0.3">
      <c r="A231" s="4"/>
    </row>
    <row r="232" spans="1:1" s="7" customFormat="1" x14ac:dyDescent="0.3">
      <c r="A232" s="4"/>
    </row>
    <row r="233" spans="1:1" s="7" customFormat="1" x14ac:dyDescent="0.3">
      <c r="A233" s="4"/>
    </row>
    <row r="234" spans="1:1" s="7" customFormat="1" x14ac:dyDescent="0.3">
      <c r="A234" s="4"/>
    </row>
    <row r="235" spans="1:1" s="7" customFormat="1" x14ac:dyDescent="0.3">
      <c r="A235" s="4"/>
    </row>
    <row r="236" spans="1:1" s="7" customFormat="1" x14ac:dyDescent="0.3">
      <c r="A236" s="4"/>
    </row>
    <row r="237" spans="1:1" s="7" customFormat="1" x14ac:dyDescent="0.3">
      <c r="A237" s="4"/>
    </row>
    <row r="238" spans="1:1" s="7" customFormat="1" x14ac:dyDescent="0.3">
      <c r="A238" s="4"/>
    </row>
    <row r="239" spans="1:1" s="7" customFormat="1" x14ac:dyDescent="0.3">
      <c r="A239" s="4"/>
    </row>
    <row r="240" spans="1:1" s="7" customFormat="1" x14ac:dyDescent="0.3">
      <c r="A240" s="4"/>
    </row>
    <row r="241" spans="1:1" s="7" customFormat="1" x14ac:dyDescent="0.3">
      <c r="A241" s="4"/>
    </row>
    <row r="242" spans="1:1" s="7" customFormat="1" x14ac:dyDescent="0.3">
      <c r="A242" s="4"/>
    </row>
    <row r="243" spans="1:1" s="7" customFormat="1" x14ac:dyDescent="0.3">
      <c r="A243" s="4"/>
    </row>
    <row r="244" spans="1:1" s="7" customFormat="1" x14ac:dyDescent="0.3">
      <c r="A244" s="4"/>
    </row>
    <row r="245" spans="1:1" s="7" customFormat="1" x14ac:dyDescent="0.3">
      <c r="A245" s="4"/>
    </row>
    <row r="246" spans="1:1" s="7" customFormat="1" x14ac:dyDescent="0.3">
      <c r="A246" s="4"/>
    </row>
    <row r="247" spans="1:1" s="7" customFormat="1" x14ac:dyDescent="0.3">
      <c r="A247" s="4"/>
    </row>
    <row r="248" spans="1:1" s="7" customFormat="1" x14ac:dyDescent="0.3">
      <c r="A248" s="4"/>
    </row>
    <row r="249" spans="1:1" s="7" customFormat="1" x14ac:dyDescent="0.3">
      <c r="A249" s="4"/>
    </row>
    <row r="250" spans="1:1" s="7" customFormat="1" x14ac:dyDescent="0.3">
      <c r="A250" s="4"/>
    </row>
    <row r="251" spans="1:1" s="7" customFormat="1" x14ac:dyDescent="0.3">
      <c r="A251" s="4"/>
    </row>
    <row r="252" spans="1:1" s="7" customFormat="1" x14ac:dyDescent="0.3">
      <c r="A252" s="4"/>
    </row>
    <row r="253" spans="1:1" s="7" customFormat="1" x14ac:dyDescent="0.3">
      <c r="A253" s="4"/>
    </row>
    <row r="254" spans="1:1" s="7" customFormat="1" x14ac:dyDescent="0.3">
      <c r="A254" s="4"/>
    </row>
    <row r="255" spans="1:1" s="7" customFormat="1" x14ac:dyDescent="0.3">
      <c r="A255" s="4"/>
    </row>
    <row r="256" spans="1:1" s="7" customFormat="1" x14ac:dyDescent="0.3">
      <c r="A256" s="4"/>
    </row>
    <row r="257" spans="1:1" s="7" customFormat="1" x14ac:dyDescent="0.3">
      <c r="A257" s="4"/>
    </row>
    <row r="258" spans="1:1" s="7" customFormat="1" x14ac:dyDescent="0.3">
      <c r="A258" s="4"/>
    </row>
    <row r="259" spans="1:1" s="7" customFormat="1" x14ac:dyDescent="0.3">
      <c r="A259" s="4"/>
    </row>
    <row r="260" spans="1:1" s="7" customFormat="1" x14ac:dyDescent="0.3">
      <c r="A260" s="4"/>
    </row>
    <row r="261" spans="1:1" s="7" customFormat="1" x14ac:dyDescent="0.3">
      <c r="A261" s="4"/>
    </row>
    <row r="262" spans="1:1" s="7" customFormat="1" x14ac:dyDescent="0.3">
      <c r="A262" s="4"/>
    </row>
    <row r="263" spans="1:1" s="7" customFormat="1" x14ac:dyDescent="0.3">
      <c r="A263" s="4"/>
    </row>
    <row r="264" spans="1:1" s="7" customFormat="1" x14ac:dyDescent="0.3">
      <c r="A264" s="4"/>
    </row>
    <row r="265" spans="1:1" s="7" customFormat="1" x14ac:dyDescent="0.3">
      <c r="A265" s="4"/>
    </row>
    <row r="266" spans="1:1" s="7" customFormat="1" x14ac:dyDescent="0.3">
      <c r="A266" s="4"/>
    </row>
    <row r="267" spans="1:1" s="7" customFormat="1" x14ac:dyDescent="0.3">
      <c r="A267" s="4"/>
    </row>
    <row r="268" spans="1:1" s="7" customFormat="1" x14ac:dyDescent="0.3">
      <c r="A268" s="4"/>
    </row>
    <row r="269" spans="1:1" s="7" customFormat="1" x14ac:dyDescent="0.3">
      <c r="A269" s="4"/>
    </row>
    <row r="270" spans="1:1" s="7" customFormat="1" x14ac:dyDescent="0.3">
      <c r="A270" s="4"/>
    </row>
    <row r="271" spans="1:1" s="7" customFormat="1" x14ac:dyDescent="0.3">
      <c r="A271" s="4"/>
    </row>
    <row r="272" spans="1:1" s="7" customFormat="1" x14ac:dyDescent="0.3">
      <c r="A272" s="4"/>
    </row>
    <row r="273" spans="1:1" s="7" customFormat="1" x14ac:dyDescent="0.3">
      <c r="A273" s="4"/>
    </row>
    <row r="274" spans="1:1" s="7" customFormat="1" x14ac:dyDescent="0.3">
      <c r="A274" s="4"/>
    </row>
    <row r="275" spans="1:1" s="7" customFormat="1" x14ac:dyDescent="0.3">
      <c r="A275" s="4"/>
    </row>
    <row r="276" spans="1:1" s="7" customFormat="1" x14ac:dyDescent="0.3">
      <c r="A276" s="4"/>
    </row>
    <row r="277" spans="1:1" s="7" customFormat="1" x14ac:dyDescent="0.3">
      <c r="A277" s="4"/>
    </row>
    <row r="278" spans="1:1" s="7" customFormat="1" x14ac:dyDescent="0.3">
      <c r="A278" s="4"/>
    </row>
    <row r="279" spans="1:1" s="7" customFormat="1" x14ac:dyDescent="0.3">
      <c r="A279" s="4"/>
    </row>
    <row r="280" spans="1:1" s="7" customFormat="1" x14ac:dyDescent="0.3">
      <c r="A280" s="4"/>
    </row>
    <row r="281" spans="1:1" s="7" customFormat="1" x14ac:dyDescent="0.3">
      <c r="A281" s="4"/>
    </row>
    <row r="282" spans="1:1" s="7" customFormat="1" x14ac:dyDescent="0.3">
      <c r="A282" s="4"/>
    </row>
    <row r="283" spans="1:1" s="7" customFormat="1" x14ac:dyDescent="0.3">
      <c r="A283" s="4"/>
    </row>
    <row r="284" spans="1:1" s="7" customFormat="1" x14ac:dyDescent="0.3">
      <c r="A284" s="4"/>
    </row>
    <row r="285" spans="1:1" s="7" customFormat="1" x14ac:dyDescent="0.3">
      <c r="A285" s="4"/>
    </row>
    <row r="286" spans="1:1" s="7" customFormat="1" x14ac:dyDescent="0.3">
      <c r="A286" s="4"/>
    </row>
    <row r="287" spans="1:1" s="7" customFormat="1" x14ac:dyDescent="0.3">
      <c r="A287" s="4"/>
    </row>
    <row r="288" spans="1:1" s="7" customFormat="1" x14ac:dyDescent="0.3">
      <c r="A288" s="4"/>
    </row>
    <row r="289" spans="1:1" s="7" customFormat="1" x14ac:dyDescent="0.3">
      <c r="A289" s="4"/>
    </row>
    <row r="290" spans="1:1" s="7" customFormat="1" x14ac:dyDescent="0.3">
      <c r="A290" s="4"/>
    </row>
    <row r="291" spans="1:1" s="7" customFormat="1" x14ac:dyDescent="0.3">
      <c r="A291" s="4"/>
    </row>
    <row r="292" spans="1:1" s="7" customFormat="1" x14ac:dyDescent="0.3">
      <c r="A292" s="4"/>
    </row>
    <row r="293" spans="1:1" s="7" customFormat="1" x14ac:dyDescent="0.3">
      <c r="A293" s="4"/>
    </row>
    <row r="294" spans="1:1" s="7" customFormat="1" x14ac:dyDescent="0.3">
      <c r="A294" s="4"/>
    </row>
    <row r="295" spans="1:1" s="7" customFormat="1" x14ac:dyDescent="0.3">
      <c r="A295" s="4"/>
    </row>
    <row r="296" spans="1:1" s="7" customFormat="1" x14ac:dyDescent="0.3">
      <c r="A296" s="4"/>
    </row>
    <row r="297" spans="1:1" s="7" customFormat="1" x14ac:dyDescent="0.3">
      <c r="A297" s="4"/>
    </row>
    <row r="298" spans="1:1" s="7" customFormat="1" x14ac:dyDescent="0.3">
      <c r="A298" s="4"/>
    </row>
    <row r="299" spans="1:1" s="7" customFormat="1" x14ac:dyDescent="0.3">
      <c r="A299" s="4"/>
    </row>
    <row r="300" spans="1:1" s="7" customFormat="1" x14ac:dyDescent="0.3">
      <c r="A300" s="4"/>
    </row>
    <row r="301" spans="1:1" s="7" customFormat="1" x14ac:dyDescent="0.3">
      <c r="A3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purl.org/dc/dcmitype/"/>
    <ds:schemaRef ds:uri="http://purl.org/dc/terms/"/>
    <ds:schemaRef ds:uri="19483571-f922-4e8e-9c1c-26f0a2252132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51b35d3-0456-4d6a-bc2f-da927e91d15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Wahbene Henrique</cp:lastModifiedBy>
  <dcterms:created xsi:type="dcterms:W3CDTF">2024-12-19T13:13:10Z</dcterms:created>
  <dcterms:modified xsi:type="dcterms:W3CDTF">2026-01-21T21:25:52Z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